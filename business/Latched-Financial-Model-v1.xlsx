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Revenue" sheetId="3" state="visible" r:id="rId5"/>
    <sheet name="COGS" sheetId="4" state="visible" r:id="rId6"/>
    <sheet name="OpEx" sheetId="5" state="visible" r:id="rId7"/>
    <sheet name="P&amp;L" sheetId="6" state="visible" r:id="rId8"/>
    <sheet name="Unit Economics" sheetId="7" state="visible" r:id="rId9"/>
    <sheet name="Missing Input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<sst xmlns="http://schemas.openxmlformats.org/spreadsheetml/2006/main" count="407" uniqueCount="316">
  <si>
    <t xml:space="preserve">LATCHED</t>
  </si>
  <si>
    <t xml:space="preserve">Financial Model — v1.0</t>
  </si>
  <si>
    <t xml:space="preserve">Last Updated: June 2026</t>
  </si>
  <si>
    <t xml:space="preserve">Lactation Support App · Early Stage · Confidential</t>
  </si>
  <si>
    <t xml:space="preserve">NAVIGATION</t>
  </si>
  <si>
    <t xml:space="preserve">→  Assumptions</t>
  </si>
  <si>
    <t xml:space="preserve">All hardcoded inputs — edit here first</t>
  </si>
  <si>
    <t xml:space="preserve">→  Revenue</t>
  </si>
  <si>
    <t xml:space="preserve">Monthly revenue build, 18-month horizon</t>
  </si>
  <si>
    <t xml:space="preserve">→  COGS</t>
  </si>
  <si>
    <t xml:space="preserve">Variable cost per user (Stripe, LLM, infra)</t>
  </si>
  <si>
    <t xml:space="preserve">→  OpEx</t>
  </si>
  <si>
    <t xml:space="preserve">Fixed &amp; semi-fixed monthly operating expenses</t>
  </si>
  <si>
    <t xml:space="preserve">→  P&amp;L</t>
  </si>
  <si>
    <t xml:space="preserve">Monthly P&amp;L summary</t>
  </si>
  <si>
    <t xml:space="preserve">→  Unit Economics</t>
  </si>
  <si>
    <t xml:space="preserve">LTV · CAC · Payback · Gross Margin</t>
  </si>
  <si>
    <t xml:space="preserve">→  Missing Inputs</t>
  </si>
  <si>
    <t xml:space="preserve">Priority list of figures Ashley must gather</t>
  </si>
  <si>
    <t xml:space="preserve">COLOR KEY</t>
  </si>
  <si>
    <t xml:space="preserve">Blue text    = Hardcoded input (change for scenarios)</t>
  </si>
  <si>
    <t xml:space="preserve">Black text   = Formula / calculated value</t>
  </si>
  <si>
    <t xml:space="preserve">Green text   = Link from another sheet</t>
  </si>
  <si>
    <t xml:space="preserve">Red text     = External link / source</t>
  </si>
  <si>
    <t xml:space="preserve">Yellow bg    = Placeholder — figure needed</t>
  </si>
  <si>
    <t xml:space="preserve">LATCHED — ASSUMPTIONS</t>
  </si>
  <si>
    <t xml:space="preserve">Low / Base</t>
  </si>
  <si>
    <t xml:space="preserve">High / Alt</t>
  </si>
  <si>
    <t xml:space="preserve">Notes / Source</t>
  </si>
  <si>
    <t xml:space="preserve">PRICING &amp; REVENUE</t>
  </si>
  <si>
    <t xml:space="preserve">One-time app price</t>
  </si>
  <si>
    <t xml:space="preserve">Source: PRD v0.9 / mvp-experience-spec v1.0 / conversation-summary-2026-05-24</t>
  </si>
  <si>
    <t xml:space="preserve">Money-back guarantee window (days)</t>
  </si>
  <si>
    <t xml:space="preserve">Source: mvp-experience-spec v1.0</t>
  </si>
  <si>
    <t xml:space="preserve">Target refund rate</t>
  </si>
  <si>
    <t xml:space="preserve">Source: PRD v0.9 — target &lt;10%; use 10% as conservative base</t>
  </si>
  <si>
    <t xml:space="preserve">B2B2C attribution share (% of signups)</t>
  </si>
  <si>
    <t xml:space="preserve">Source: PRD v0.9 — target ≥40% via IBCLC referral channel</t>
  </si>
  <si>
    <t xml:space="preserve">PAYMENT PROCESSING (STRIPE)</t>
  </si>
  <si>
    <t xml:space="preserve">Stripe percentage fee</t>
  </si>
  <si>
    <t xml:space="preserve">Source: Stripe standard rate 2.9%</t>
  </si>
  <si>
    <t xml:space="preserve">Stripe per-transaction fee ($)</t>
  </si>
  <si>
    <t xml:space="preserve">Source: Stripe standard rate $0.30/txn</t>
  </si>
  <si>
    <t xml:space="preserve">CUSTOMER ACQUISITION</t>
  </si>
  <si>
    <t xml:space="preserve">B2C blended CAC target ($)</t>
  </si>
  <si>
    <t xml:space="preserve">Source: PRD v0.9 — target &lt;$30 blended; Meta benchmark $30-80</t>
  </si>
  <si>
    <t xml:space="preserve">B2C CAC high scenario ($)</t>
  </si>
  <si>
    <t xml:space="preserve">Fill in: conservative / high scenario CAC</t>
  </si>
  <si>
    <t xml:space="preserve">B2B2C CAC — estimated ($)</t>
  </si>
  <si>
    <t xml:space="preserve">Fill in: cost per referral (printing, onboarding IBCLCs, outreach)</t>
  </si>
  <si>
    <t xml:space="preserve">IBCLC design partners recruited (#)</t>
  </si>
  <si>
    <t xml:space="preserve">Fill in: target 5-10 per ACTION-ITEMS.md</t>
  </si>
  <si>
    <t xml:space="preserve">Avg moms referred per IBCLC per month</t>
  </si>
  <si>
    <t xml:space="preserve">Fill in: estimate from pilot data</t>
  </si>
  <si>
    <t xml:space="preserve">B2C paid conversion rate (landing page → purchase)</t>
  </si>
  <si>
    <t xml:space="preserve">Fill in: benchmark 1-3% cold; 5-10% warm</t>
  </si>
  <si>
    <t xml:space="preserve">USER GROWTH ASSUMPTIONS</t>
  </si>
  <si>
    <t xml:space="preserve">Launch month (Month #)</t>
  </si>
  <si>
    <t xml:space="preserve">Source: 4-5 month build timeline per conversation-summary-2026-05-24. Model uses Month 5.</t>
  </si>
  <si>
    <t xml:space="preserve">New paid signups — Month 5 (launch)</t>
  </si>
  <si>
    <t xml:space="preserve">Source: ~100 signups in first 90 days target (PRD). Assume ramp: 10→30→60 across months 5-7.</t>
  </si>
  <si>
    <t xml:space="preserve">New paid signups — Month 6</t>
  </si>
  <si>
    <t xml:space="preserve">Source: derived from 100-in-90-days target (PRD v0.9)</t>
  </si>
  <si>
    <t xml:space="preserve">New paid signups — Month 7</t>
  </si>
  <si>
    <t xml:space="preserve">Monthly growth rate post-Month 7 (%)</t>
  </si>
  <si>
    <t xml:space="preserve">Fill in: organic + paid growth assumption post-100 users</t>
  </si>
  <si>
    <t xml:space="preserve">Churn rate (% of total users/month)</t>
  </si>
  <si>
    <t xml:space="preserve">One-time purchase — no subscription churn. Set 0. Track re-engage.</t>
  </si>
  <si>
    <t xml:space="preserve">LLM &amp; API COSTS</t>
  </si>
  <si>
    <t xml:space="preserve">Smart-FAQ queries per user per week</t>
  </si>
  <si>
    <t xml:space="preserve">Fill in: estimate from UX spec; likely 2-5 queries/week early on</t>
  </si>
  <si>
    <t xml:space="preserve">Avg weeks active per user</t>
  </si>
  <si>
    <t xml:space="preserve">Source: protocol is weeks 1-6 per PRD v0.9</t>
  </si>
  <si>
    <t xml:space="preserve">Claude Haiku cost per 1K input tokens ($)</t>
  </si>
  <si>
    <t xml:space="preserve">Source: Anthropic pricing (Haiku). Check current pricing at anthropic.com/pricing</t>
  </si>
  <si>
    <t xml:space="preserve">Claude Haiku cost per 1K output tokens ($)</t>
  </si>
  <si>
    <t xml:space="preserve">Source: Anthropic pricing (Haiku).</t>
  </si>
  <si>
    <t xml:space="preserve">Avg tokens per FAQ query (input)</t>
  </si>
  <si>
    <t xml:space="preserve">Estimate: system prompt ~300 + user query ~200 tokens</t>
  </si>
  <si>
    <t xml:space="preserve">Avg tokens per FAQ response (output)</t>
  </si>
  <si>
    <t xml:space="preserve">Estimate: canned answer ~200-400 tokens</t>
  </si>
  <si>
    <t xml:space="preserve">Embedding cost per 1M tokens ($) — text-embedding-3-small</t>
  </si>
  <si>
    <t xml:space="preserve">Source: technical-design-v1.md — OpenAI text-embedding-3-small</t>
  </si>
  <si>
    <t xml:space="preserve">Avg tokens to embed per query</t>
  </si>
  <si>
    <t xml:space="preserve">Estimate: user query ~50 tokens for semantic match</t>
  </si>
  <si>
    <t xml:space="preserve">INFRASTRUCTURE (MONTHLY FIXED)</t>
  </si>
  <si>
    <t xml:space="preserve">Supabase — pre-launch (free tier)</t>
  </si>
  <si>
    <t xml:space="preserve">Source: technical-design-v1.md — free tier during Phase 0</t>
  </si>
  <si>
    <t xml:space="preserve">Supabase Pro (post scale-up)</t>
  </si>
  <si>
    <t xml:space="preserve">Source: technical-design-v1.md — ~$25/month Pro tier</t>
  </si>
  <si>
    <t xml:space="preserve">Supabase upgrade threshold (users)</t>
  </si>
  <si>
    <t xml:space="preserve">Fill in: when to move from free → Pro (e.g., at 500 users or hitting free limits)</t>
  </si>
  <si>
    <t xml:space="preserve">Vercel — pre-launch (free/hobby)</t>
  </si>
  <si>
    <t xml:space="preserve">Source: technical-design-v1.md — free tier / Lovable Pro handles hosting</t>
  </si>
  <si>
    <t xml:space="preserve">Vercel Pro (if needed)</t>
  </si>
  <si>
    <t xml:space="preserve">Source: Vercel pricing — $20/month Pro. Currently on free.</t>
  </si>
  <si>
    <t xml:space="preserve">PostHog (free tier)</t>
  </si>
  <si>
    <t xml:space="preserve">Source: technical-design-v1.md — PostHog free tier</t>
  </si>
  <si>
    <t xml:space="preserve">Resend email</t>
  </si>
  <si>
    <t xml:space="preserve">Source: technical-design-v1.md — Resend (free tier at v1 scale)</t>
  </si>
  <si>
    <t xml:space="preserve">InfantRisk.com subscription ($/month)</t>
  </si>
  <si>
    <t xml:space="preserve">Source: PRD v0.9 — $10/month</t>
  </si>
  <si>
    <t xml:space="preserve">Linear (project mgmt)</t>
  </si>
  <si>
    <t xml:space="preserve">Source: technical-design-v1.md — Linear (free for solo)</t>
  </si>
  <si>
    <t xml:space="preserve">Other SaaS / misc tools</t>
  </si>
  <si>
    <t xml:space="preserve">Fill in: domain, email, Figma, etc.</t>
  </si>
  <si>
    <t xml:space="preserve">PRE-LAUNCH ONE-TIME COSTS (PHASE 0)</t>
  </si>
  <si>
    <t xml:space="preserve">Research survey gift cards (10 moms × $20)</t>
  </si>
  <si>
    <t xml:space="preserve">Source: ACTION-ITEMS.md — Experiment 2, 10 moms × $20 gift card</t>
  </si>
  <si>
    <t xml:space="preserve">Cold IBCLC interviews (5 × $75 incentive)</t>
  </si>
  <si>
    <t xml:space="preserve">Source: ACTION-ITEMS.md — 5 cold IBCLC interviews × $75</t>
  </si>
  <si>
    <t xml:space="preserve">Printable ruler accuracy test (15+ moms)</t>
  </si>
  <si>
    <t xml:space="preserve">Fill in: incentive amount × 15 moms for ruler accuracy test</t>
  </si>
  <si>
    <t xml:space="preserve">Lovable / Figma prototype (Experiment 3)</t>
  </si>
  <si>
    <t xml:space="preserve">Fill in: Lovable Pro subscription cost if not already paid</t>
  </si>
  <si>
    <t xml:space="preserve">WTP validation study cost</t>
  </si>
  <si>
    <t xml:space="preserve">Fill in: cost of Wizard-of-Oz WTP test ($49 price point)</t>
  </si>
  <si>
    <t xml:space="preserve">Legal — privacy policy / advisor agreement</t>
  </si>
  <si>
    <t xml:space="preserve">Fill in: lawyer fees or template service cost</t>
  </si>
  <si>
    <t xml:space="preserve">Stripe account setup (one-time)</t>
  </si>
  <si>
    <t xml:space="preserve">Stripe setup is free</t>
  </si>
  <si>
    <t xml:space="preserve">IBCLC ADVISOR</t>
  </si>
  <si>
    <t xml:space="preserve">Advisor hourly rate — low ($)</t>
  </si>
  <si>
    <t xml:space="preserve">Source: ACTION-ITEMS.md — $75-150/hr range</t>
  </si>
  <si>
    <t xml:space="preserve">Advisor hourly rate — high ($)</t>
  </si>
  <si>
    <t xml:space="preserve">Pre-launch review hours — low</t>
  </si>
  <si>
    <t xml:space="preserve">Source: ACTION-ITEMS.md — ~90-116 hrs total pre-launch</t>
  </si>
  <si>
    <t xml:space="preserve">Pre-launch review hours — high</t>
  </si>
  <si>
    <t xml:space="preserve">Advisor equity option (% if equity comp)</t>
  </si>
  <si>
    <t xml:space="preserve">Fill in: 0.25-0.5% per ACTION-ITEMS.md if equity route taken</t>
  </si>
  <si>
    <t xml:space="preserve">Monthly ongoing review hours (post-launch)</t>
  </si>
  <si>
    <t xml:space="preserve">Fill in: ongoing cadence TBD with advisor</t>
  </si>
  <si>
    <t xml:space="preserve">MARKETING SPEND</t>
  </si>
  <si>
    <t xml:space="preserve">Monthly paid marketing — pre-launch ($)</t>
  </si>
  <si>
    <t xml:space="preserve">Zero pre-launch; validation is organic/manual</t>
  </si>
  <si>
    <t xml:space="preserve">Monthly paid marketing — post-launch ($)</t>
  </si>
  <si>
    <t xml:space="preserve">Fill in: target spend for B2C paid channel (Meta/Instagram/TikTok)</t>
  </si>
  <si>
    <t xml:space="preserve">IBCLC design partner outreach cost/month</t>
  </si>
  <si>
    <t xml:space="preserve">Fill in: printing, shipping, outreach time cost</t>
  </si>
  <si>
    <t xml:space="preserve">FOUNDER / SALARY</t>
  </si>
  <si>
    <t xml:space="preserve">Founder salary ($/month)</t>
  </si>
  <si>
    <t xml:space="preserve">Fill in: $0 if bootstrapping; enter salary if paying yourself</t>
  </si>
  <si>
    <t xml:space="preserve">Contractor / freelance budget ($/month)</t>
  </si>
  <si>
    <t xml:space="preserve">Fill in: design, copywriting, etc.</t>
  </si>
  <si>
    <t xml:space="preserve">REVENUE — 18-Month Model</t>
  </si>
  <si>
    <t xml:space="preserve">net_rev_row=14</t>
  </si>
  <si>
    <t xml:space="preserve">(Phase 0 = Months 1-4, Launch = Month 5)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</si>
  <si>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</si>
  <si>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</si>
  <si>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</si>
  <si>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</si>
  <si>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</si>
  <si>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</si>
  <si>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</si>
  <si>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</si>
  <si>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</si>
  <si>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</si>
  <si>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</si>
  <si>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</si>
  <si>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</si>
  <si>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</si>
  <si>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</si>
  <si>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</si>
  <si>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</si>
  <si>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</si>
  <si>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gross_rev_row=12</t>
  </si>
  <si>
    <t xml:space="preserve">USER ACQUISITION</t>
  </si>
  <si>
    <t xml:space="preserve">net_signups_row=6</t>
  </si>
  <si>
    <t xml:space="preserve">New paid signups (gross)</t>
  </si>
  <si>
    <t xml:space="preserve">cum_users_row=9</t>
  </si>
  <si>
    <t xml:space="preserve">    Refunds (gross signups × refund rate)</t>
  </si>
  <si>
    <t xml:space="preserve">Net paid signups</t>
  </si>
  <si>
    <t xml:space="preserve">  of which: B2B2C (IBCLC-referred)</t>
  </si>
  <si>
    <t xml:space="preserve">  of which: Direct B2C</t>
  </si>
  <si>
    <t xml:space="preserve">Cumulative total users</t>
  </si>
  <si>
    <t xml:space="preserve">GROSS REVENUE</t>
  </si>
  <si>
    <t xml:space="preserve">Gross revenue (net signups × $49)</t>
  </si>
  <si>
    <t xml:space="preserve">  Stripe fees (–2.9% – $0.30/txn)</t>
  </si>
  <si>
    <t xml:space="preserve">Net revenue (after Stripe)</t>
  </si>
  <si>
    <t xml:space="preserve">COGS — 18-Month Model</t>
  </si>
  <si>
    <t xml:space="preserve">total_cogs_row=13</t>
  </si>
  <si>
    <t xml:space="preserve">VARIABLE COSTS (PER USER / PER QUERY)</t>
  </si>
  <si>
    <t xml:space="preserve">LLM cost per active user ($/user) [formula-driven]</t>
  </si>
  <si>
    <t xml:space="preserve">Total LLM cost (LLM/user × new signups)</t>
  </si>
  <si>
    <t xml:space="preserve">FIXED INFRASTRUCTURE (MONTHLY)</t>
  </si>
  <si>
    <t xml:space="preserve">Supabase</t>
  </si>
  <si>
    <t xml:space="preserve">Vercel hosting</t>
  </si>
  <si>
    <t xml:space="preserve">InfantRisk.com subscription</t>
  </si>
  <si>
    <t xml:space="preserve">TOTAL COGS</t>
  </si>
  <si>
    <t xml:space="preserve">Total COGS</t>
  </si>
  <si>
    <t xml:space="preserve">OPEX — 18-Month Model</t>
  </si>
  <si>
    <t xml:space="preserve">total_opex_row=25</t>
  </si>
  <si>
    <t xml:space="preserve">ADVISOR FEES</t>
  </si>
  <si>
    <t xml:space="preserve">IBCLC advisor — pre-launch (low estimate)</t>
  </si>
  <si>
    <t xml:space="preserve">IBCLC advisor — pre-launch (high estimate)</t>
  </si>
  <si>
    <t xml:space="preserve">IBCLC advisor — ongoing (post-launch)</t>
  </si>
  <si>
    <t xml:space="preserve">RESEARCH &amp; VALIDATION (PHASE 0)</t>
  </si>
  <si>
    <t xml:space="preserve">Research survey incentives ($200 total)</t>
  </si>
  <si>
    <t xml:space="preserve">Cold IBCLC interview incentives ($375 total)</t>
  </si>
  <si>
    <t xml:space="preserve">Other validation costs (ruler test, WTP, legal)</t>
  </si>
  <si>
    <t xml:space="preserve">?</t>
  </si>
  <si>
    <t xml:space="preserve">MARKETING</t>
  </si>
  <si>
    <t xml:space="preserve">Paid marketing</t>
  </si>
  <si>
    <t xml:space="preserve">IBCLC partner outreach / referral program</t>
  </si>
  <si>
    <t xml:space="preserve">PEOPLE</t>
  </si>
  <si>
    <t xml:space="preserve">Founder salary</t>
  </si>
  <si>
    <t xml:space="preserve">Contractors / freelancers</t>
  </si>
  <si>
    <t xml:space="preserve">G&amp;A / TOOLS</t>
  </si>
  <si>
    <t xml:space="preserve">Other SaaS &amp; tools</t>
  </si>
  <si>
    <t xml:space="preserve">TOTAL OPEX</t>
  </si>
  <si>
    <t xml:space="preserve">Total OpEx (base — low advisor)</t>
  </si>
  <si>
    <t xml:space="preserve">P&amp;L — 18-Month Model</t>
  </si>
  <si>
    <t xml:space="preserve">PROFIT &amp; LOSS SUMMARY</t>
  </si>
  <si>
    <t xml:space="preserve">Net Revenue</t>
  </si>
  <si>
    <t xml:space="preserve">  Total COGS</t>
  </si>
  <si>
    <t xml:space="preserve">Gross Profit</t>
  </si>
  <si>
    <t xml:space="preserve">Gross Margin %</t>
  </si>
  <si>
    <t xml:space="preserve">  Total OpEx</t>
  </si>
  <si>
    <t xml:space="preserve">EBITDA / Net Operating Income</t>
  </si>
  <si>
    <t xml:space="preserve">Cumulative Cash Position (simplified)</t>
  </si>
  <si>
    <t xml:space="preserve">SUPPORTING METRICS</t>
  </si>
  <si>
    <t xml:space="preserve">New Paid Signups (net)</t>
  </si>
  <si>
    <t xml:space="preserve">Cumulative Users</t>
  </si>
  <si>
    <t xml:space="preserve">UNIT ECONOMICS</t>
  </si>
  <si>
    <t xml:space="preserve">Value</t>
  </si>
  <si>
    <t xml:space="preserve">Alt/Range</t>
  </si>
  <si>
    <t xml:space="preserve">Notes</t>
  </si>
  <si>
    <t xml:space="preserve">REVENUE PER USER</t>
  </si>
  <si>
    <t xml:space="preserve">Gross price per user</t>
  </si>
  <si>
    <t xml:space="preserve">Source: PRD v0.9 / mvp-experience-spec</t>
  </si>
  <si>
    <t xml:space="preserve">Stripe fee per transaction</t>
  </si>
  <si>
    <t xml:space="preserve">2.9% × $49 + $0.30 = ~$1.72</t>
  </si>
  <si>
    <t xml:space="preserve">Net revenue per user (after Stripe)</t>
  </si>
  <si>
    <t xml:space="preserve">~$47.28 per paid user</t>
  </si>
  <si>
    <t xml:space="preserve">COST PER USER (VARIABLE)</t>
  </si>
  <si>
    <t xml:space="preserve">LLM cost per user (6-week journey)</t>
  </si>
  <si>
    <t xml:space="preserve">Requires: queries/user/week in Assumptions</t>
  </si>
  <si>
    <t xml:space="preserve">GROSS MARGIN PER USER</t>
  </si>
  <si>
    <t xml:space="preserve">Gross margin per user</t>
  </si>
  <si>
    <t xml:space="preserve">Gross margin % per user</t>
  </si>
  <si>
    <t xml:space="preserve">CUSTOMER ACQUISITION COST (CAC)</t>
  </si>
  <si>
    <t xml:space="preserve">B2C CAC — target/base ($)</t>
  </si>
  <si>
    <t xml:space="preserve">Source: PRD v0.9 — target &lt;$30; Meta benchmark $30-80</t>
  </si>
  <si>
    <t xml:space="preserve">B2C CAC — high scenario ($)</t>
  </si>
  <si>
    <t xml:space="preserve">Fill in Assumptions sheet — conservative scenario</t>
  </si>
  <si>
    <t xml:space="preserve">Fill in: printing + outreach + IBCLC onboarding cost per referred user</t>
  </si>
  <si>
    <t xml:space="preserve">Blended CAC (40% B2B2C / 60% B2C)</t>
  </si>
  <si>
    <t xml:space="preserve">Fill B2B2C CAC to unlock this. B2C CAC = $30 base.</t>
  </si>
  <si>
    <t xml:space="preserve">LTV &amp; PAYBACK</t>
  </si>
  <si>
    <t xml:space="preserve">LTV (one-time; no expansion revenue in v1)</t>
  </si>
  <si>
    <t xml:space="preserve">LTV = net revenue per user. One-time purchase, no upsell in v1.</t>
  </si>
  <si>
    <t xml:space="preserve">LTV:CAC (B2C base case)</t>
  </si>
  <si>
    <t xml:space="preserve">Target &gt;3x for sustainable paid acquisition</t>
  </si>
  <si>
    <t xml:space="preserve">Payback period — B2C (months)</t>
  </si>
  <si>
    <t xml:space="preserve">One-time purchase: payback is instant if CAC &lt; net revenue/user</t>
  </si>
  <si>
    <t xml:space="preserve">MISSING INPUTS — PRIORITY ORDER</t>
  </si>
  <si>
    <t xml:space="preserve">#</t>
  </si>
  <si>
    <t xml:space="preserve">Input / Figure Needed</t>
  </si>
  <si>
    <t xml:space="preserve">Where Used</t>
  </si>
  <si>
    <t xml:space="preserve">Est. Time to Get</t>
  </si>
  <si>
    <t xml:space="preserve">Notes / Source Suggestion</t>
  </si>
  <si>
    <t xml:space="preserve">Monthly growth rate post-M7 (%)</t>
  </si>
  <si>
    <t xml:space="preserve">Revenue — new signups M8-M18</t>
  </si>
  <si>
    <t xml:space="preserve">1 hour</t>
  </si>
  <si>
    <t xml:space="preserve">Benchmark: 15-25%/month for early consumer apps. Set 20% base case. Validate after 60 days live.</t>
  </si>
  <si>
    <t xml:space="preserve">Monthly paid marketing budget post-launch ($)</t>
  </si>
  <si>
    <t xml:space="preserve">OpEx — Marketing; CAC calculation</t>
  </si>
  <si>
    <t xml:space="preserve">1-2 hours</t>
  </si>
  <si>
    <t xml:space="preserve">Start with $500-1,000/month to test Meta/Instagram. Adjust after first 30 days.</t>
  </si>
  <si>
    <t xml:space="preserve">COGS — LLM cost; Unit Economics</t>
  </si>
  <si>
    <t xml:space="preserve">From UX spec / usage assumption</t>
  </si>
  <si>
    <t xml:space="preserve">Estimate 3-5 queries/week while building. Validate with pilot users. Low impact on COGS at v1 scale.</t>
  </si>
  <si>
    <t xml:space="preserve">B2B2C CAC — cost per referred user ($)</t>
  </si>
  <si>
    <t xml:space="preserve">Unit Economics — blended CAC</t>
  </si>
  <si>
    <t xml:space="preserve">2-4 hours</t>
  </si>
  <si>
    <t xml:space="preserve">Estimate: printing ($0.50/card) + IBCLC onboarding time. Likely $5-15/referred user if mostly organic.</t>
  </si>
  <si>
    <t xml:space="preserve">B2C CAC — high/conservative scenario ($)</t>
  </si>
  <si>
    <t xml:space="preserve">Unit Economics — scenario analysis</t>
  </si>
  <si>
    <t xml:space="preserve">30 min</t>
  </si>
  <si>
    <t xml:space="preserve">Use Meta benchmark: $50-80 conservative. Fill in Assumptions!D (high column).</t>
  </si>
  <si>
    <t xml:space="preserve">OpEx — People</t>
  </si>
  <si>
    <t xml:space="preserve">Your call</t>
  </si>
  <si>
    <t xml:space="preserve">If bootstrapping: $0. If drawing salary: enter amount. Key for burn rate / runway calc.</t>
  </si>
  <si>
    <t xml:space="preserve">IBCLC design partner outreach cost/month ($)</t>
  </si>
  <si>
    <t xml:space="preserve">OpEx — Marketing; B2B2C CAC</t>
  </si>
  <si>
    <t xml:space="preserve">Est: printed cards + shipping ~$50-100/month. Outreach time is sweat equity at this stage.</t>
  </si>
  <si>
    <t xml:space="preserve">Supabase upgrade threshold (# users)</t>
  </si>
  <si>
    <t xml:space="preserve">COGS — Supabase tier</t>
  </si>
  <si>
    <t xml:space="preserve">Supabase free: 500MB DB, 1GB storage, 50K MAU. Upgrade to Pro ($25/mo) likely at 200-500 users.</t>
  </si>
  <si>
    <t xml:space="preserve">Printable ruler accuracy test incentive ($ × 15 moms)</t>
  </si>
  <si>
    <t xml:space="preserve">OpEx — Phase 0 research</t>
  </si>
  <si>
    <t xml:space="preserve">If $20/mom: $300 total. Schedule per ACTION-ITEMS.md.</t>
  </si>
  <si>
    <t xml:space="preserve">WTP validation study cost ($)</t>
  </si>
  <si>
    <t xml:space="preserve">Wizard-of-Oz test — likely $0 if done manually. Add any ad spend to drive traffic.</t>
  </si>
  <si>
    <t xml:space="preserve">Legal costs — privacy policy / advisor agreement ($)</t>
  </si>
  <si>
    <t xml:space="preserve">OpEx — Phase 0 one-time</t>
  </si>
  <si>
    <t xml:space="preserve">1-2 hours research</t>
  </si>
  <si>
    <t xml:space="preserve">DIY via Termly/Iubenda ~$0-$180/yr. Lawyer review: $500-1,500. Prioritize before any data collection.</t>
  </si>
  <si>
    <t xml:space="preserve">Revenue — B2B2C signups scaling</t>
  </si>
  <si>
    <t xml:space="preserve">From pilot data</t>
  </si>
  <si>
    <t xml:space="preserve">IBCLCs see 5-15 patients/day. Estimate 2-5 referrals/month per partner conservatively.</t>
  </si>
  <si>
    <t xml:space="preserve">IBCLC advisor — ongoing monthly hours (post-launch)</t>
  </si>
  <si>
    <t xml:space="preserve">OpEx — Advisor fees ongoing</t>
  </si>
  <si>
    <t xml:space="preserve">Negotiate with advisor</t>
  </si>
  <si>
    <t xml:space="preserve">Likely 4-8 hrs/month for batch FAQ reviews. At $75-150/hr: $300-1,200/month.</t>
  </si>
  <si>
    <t xml:space="preserve">Other SaaS / misc monthly tools ($)</t>
  </si>
  <si>
    <t xml:space="preserve">OpEx — G&amp;A</t>
  </si>
  <si>
    <t xml:space="preserve">Domain ~$1/mo, Figma free, Google Workspace ~$6-12/mo, misc. Est $15-30/month.</t>
  </si>
  <si>
    <t xml:space="preserve">Contractor / freelance monthly budget ($)</t>
  </si>
  <si>
    <t xml:space="preserve">Design, copy, or dev help. $0 if doing everything yourself; $500-2,000/month if using contractors.</t>
  </si>
  <si>
    <t xml:space="preserve">Lovable Pro / prototype build cost ($)</t>
  </si>
  <si>
    <t xml:space="preserve">Check Lovable pricing</t>
  </si>
  <si>
    <t xml:space="preserve">Lovable Pro ~$25-50/month. Budget one month for prototype per ACTION-ITEMS.md Experiment 3.</t>
  </si>
  <si>
    <t xml:space="preserve">IBCLC advisor equity % (if equity route)</t>
  </si>
  <si>
    <t xml:space="preserve">Cap table (not in P&amp;L)</t>
  </si>
  <si>
    <t xml:space="preserve">Range: 0.25-0.5% per ACTION-ITEMS.md. Not a cash cost but affects cap table.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</si>
</sst>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$#,##0;&quot;($&quot;#,##0\);\-"/>
    <numFmt numFmtId="166" formatCode="#,##0"/>
    <numFmt numFmtId="167" formatCode="0.0%;\-0.0%;\-"/>
    <numFmt numFmtId="168" formatCode="0.00%;\-0.00%;\-"/>
    <numFmt numFmtId="169" formatCode="\$#,##0.00;&quot;($&quot;#,##0.00\);\-"/>
    <numFmt numFmtId="170" formatCode="#,##0.0"/>
    <numFmt numFmtId="171" formatCode="\$#,##0.00000"/>
    <numFmt numFmtId="172" formatCode="#,##0;\(#,##0\);\-"/>
    <numFmt numFmtId="173" formatCode="\$#,##0.0000"/>
    <numFmt numFmtId="174" formatCode="0.0\x"/>
    <numFmt numFmtId="175" formatCode="0.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2D5B8E"/>
      <name val="Arial"/>
      <family val="0"/>
      <charset val="1"/>
    </font>
    <font>
      <i val="true"/>
      <sz val="13"/>
      <color rgb="FF555555"/>
      <name val="Arial"/>
      <family val="0"/>
      <charset val="1"/>
    </font>
    <font>
      <sz val="10"/>
      <color rgb="FF777777"/>
      <name val="Arial"/>
      <family val="0"/>
      <charset val="1"/>
    </font>
    <font>
      <i val="true"/>
      <sz val="10"/>
      <color rgb="FF777777"/>
      <name val="Arial"/>
      <family val="0"/>
      <charset val="1"/>
    </font>
    <font>
      <b val="true"/>
      <sz val="11"/>
      <color rgb="FF2D5B8E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FF0000"/>
      <name val="Arial"/>
      <family val="0"/>
      <charset val="1"/>
    </font>
    <font>
      <b val="true"/>
      <sz val="13"/>
      <color rgb="FF2D5B8E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1"/>
      <color rgb="FFFFFFFF"/>
      <name val="Cambria"/>
      <family val="0"/>
      <charset val="1"/>
    </font>
    <font>
      <i val="true"/>
      <sz val="9"/>
      <color rgb="FF777777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9"/>
      <color rgb="FF555555"/>
      <name val="Arial"/>
      <family val="0"/>
      <charset val="1"/>
    </font>
    <font>
      <sz val="9"/>
      <color rgb="FF333333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F00"/>
        <bgColor rgb="FFFFFF00"/>
      </patternFill>
    </fill>
    <fill>
      <patternFill patternType="solid">
        <fgColor rgb="FF2D5B8E"/>
        <bgColor rgb="FF555555"/>
      </patternFill>
    </fill>
    <fill>
      <patternFill patternType="solid">
        <fgColor rgb="FF777777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0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12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7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77777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2D5B8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30"/>
  </cols>
  <sheetData>
    <row r="2" customFormat="false" ht="26.8" hidden="false" customHeight="false" outlineLevel="0" collapsed="false">
      <c r="B2" s="1" t="s">
        <v>0</v>
      </c>
    </row>
    <row r="3" customFormat="false" ht="16.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5" hidden="false" customHeight="false" outlineLevel="0" collapsed="false">
      <c r="B6" s="4" t="s">
        <v>3</v>
      </c>
    </row>
    <row r="9" customFormat="false" ht="15" hidden="false" customHeight="false" outlineLevel="0" collapsed="false">
      <c r="B9" s="5" t="s">
        <v>4</v>
      </c>
    </row>
    <row r="10" customFormat="false" ht="15" hidden="false" customHeight="false" outlineLevel="0" collapsed="false">
      <c r="B10" s="6" t="s">
        <v>5</v>
      </c>
      <c r="C10" s="7" t="s">
        <v>6</v>
      </c>
    </row>
    <row r="11" customFormat="false" ht="15" hidden="false" customHeight="false" outlineLevel="0" collapsed="false">
      <c r="B11" s="6" t="s">
        <v>7</v>
      </c>
      <c r="C11" s="7" t="s">
        <v>8</v>
      </c>
    </row>
    <row r="12" customFormat="false" ht="15" hidden="false" customHeight="false" outlineLevel="0" collapsed="false">
      <c r="B12" s="6" t="s">
        <v>9</v>
      </c>
      <c r="C12" s="7" t="s">
        <v>10</v>
      </c>
    </row>
    <row r="13" customFormat="false" ht="15" hidden="false" customHeight="false" outlineLevel="0" collapsed="false">
      <c r="B13" s="6" t="s">
        <v>11</v>
      </c>
      <c r="C13" s="7" t="s">
        <v>12</v>
      </c>
    </row>
    <row r="14" customFormat="false" ht="15" hidden="false" customHeight="false" outlineLevel="0" collapsed="false">
      <c r="B14" s="6" t="s">
        <v>13</v>
      </c>
      <c r="C14" s="7" t="s">
        <v>14</v>
      </c>
    </row>
    <row r="15" customFormat="false" ht="15" hidden="false" customHeight="false" outlineLevel="0" collapsed="false">
      <c r="B15" s="6" t="s">
        <v>15</v>
      </c>
      <c r="C15" s="7" t="s">
        <v>16</v>
      </c>
    </row>
    <row r="16" customFormat="false" ht="15" hidden="false" customHeight="false" outlineLevel="0" collapsed="false">
      <c r="B16" s="6" t="s">
        <v>17</v>
      </c>
      <c r="C16" s="7" t="s">
        <v>18</v>
      </c>
    </row>
    <row r="18" customFormat="false" ht="15" hidden="false" customHeight="false" outlineLevel="0" collapsed="false">
      <c r="B18" s="5" t="s">
        <v>19</v>
      </c>
    </row>
    <row r="19" customFormat="false" ht="15" hidden="false" customHeight="false" outlineLevel="0" collapsed="false">
      <c r="B19" s="8" t="s">
        <v>20</v>
      </c>
    </row>
    <row r="20" customFormat="false" ht="15" hidden="false" customHeight="false" outlineLevel="0" collapsed="false">
      <c r="B20" s="7" t="s">
        <v>21</v>
      </c>
    </row>
    <row r="21" customFormat="false" ht="15" hidden="false" customHeight="false" outlineLevel="0" collapsed="false">
      <c r="B21" s="9" t="s">
        <v>22</v>
      </c>
    </row>
    <row r="22" customFormat="false" ht="15" hidden="false" customHeight="false" outlineLevel="0" collapsed="false">
      <c r="B22" s="10" t="s">
        <v>23</v>
      </c>
    </row>
    <row r="23" customFormat="false" ht="15" hidden="false" customHeight="false" outlineLevel="0" collapsed="false">
      <c r="B23" s="11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4" min="3" style="0" width="18"/>
    <col collapsed="false" customWidth="true" hidden="false" outlineLevel="0" max="5" min="5" style="0" width="50"/>
  </cols>
  <sheetData>
    <row r="1" customFormat="false" ht="19.5" hidden="false" customHeight="true" outlineLevel="0" collapsed="false">
      <c r="B1" s="12" t="s">
        <v>25</v>
      </c>
      <c r="C1" s="13" t="s">
        <v>26</v>
      </c>
      <c r="D1" s="13" t="s">
        <v>27</v>
      </c>
      <c r="E1" s="14" t="s">
        <v>28</v>
      </c>
    </row>
    <row r="3" customFormat="false" ht="15" hidden="false" customHeight="false" outlineLevel="0" collapsed="false">
      <c r="B3" s="15" t="s">
        <v>29</v>
      </c>
      <c r="C3" s="15"/>
      <c r="D3" s="15"/>
      <c r="E3" s="15"/>
    </row>
    <row r="4" customFormat="false" ht="22.35" hidden="false" customHeight="false" outlineLevel="0" collapsed="false">
      <c r="B4" s="16" t="s">
        <v>30</v>
      </c>
      <c r="C4" s="17" t="n">
        <v>49</v>
      </c>
      <c r="E4" s="18" t="s">
        <v>31</v>
      </c>
    </row>
    <row r="5" customFormat="false" ht="15" hidden="false" customHeight="false" outlineLevel="0" collapsed="false">
      <c r="B5" s="16" t="s">
        <v>32</v>
      </c>
      <c r="C5" s="19" t="n">
        <v>30</v>
      </c>
      <c r="E5" s="18" t="s">
        <v>33</v>
      </c>
    </row>
    <row r="6" customFormat="false" ht="15" hidden="false" customHeight="false" outlineLevel="0" collapsed="false">
      <c r="B6" s="16" t="s">
        <v>34</v>
      </c>
      <c r="C6" s="20" t="n">
        <v>0.1</v>
      </c>
      <c r="E6" s="18" t="s">
        <v>35</v>
      </c>
    </row>
    <row r="7" customFormat="false" ht="15" hidden="false" customHeight="false" outlineLevel="0" collapsed="false">
      <c r="B7" s="16" t="s">
        <v>36</v>
      </c>
      <c r="C7" s="20" t="n">
        <v>0.4</v>
      </c>
      <c r="E7" s="18" t="s">
        <v>37</v>
      </c>
    </row>
    <row r="9" customFormat="false" ht="15" hidden="false" customHeight="false" outlineLevel="0" collapsed="false">
      <c r="B9" s="15" t="s">
        <v>38</v>
      </c>
      <c r="C9" s="15"/>
      <c r="D9" s="15"/>
      <c r="E9" s="15"/>
    </row>
    <row r="10" customFormat="false" ht="15" hidden="false" customHeight="false" outlineLevel="0" collapsed="false">
      <c r="B10" s="16" t="s">
        <v>39</v>
      </c>
      <c r="C10" s="21" t="n">
        <v>0.029</v>
      </c>
      <c r="E10" s="18" t="s">
        <v>40</v>
      </c>
    </row>
    <row r="11" customFormat="false" ht="15" hidden="false" customHeight="false" outlineLevel="0" collapsed="false">
      <c r="B11" s="16" t="s">
        <v>41</v>
      </c>
      <c r="C11" s="22" t="n">
        <v>0.3</v>
      </c>
      <c r="E11" s="18" t="s">
        <v>42</v>
      </c>
    </row>
    <row r="13" customFormat="false" ht="15" hidden="false" customHeight="false" outlineLevel="0" collapsed="false">
      <c r="B13" s="15" t="s">
        <v>43</v>
      </c>
      <c r="C13" s="15"/>
      <c r="D13" s="15"/>
      <c r="E13" s="15"/>
    </row>
    <row r="14" customFormat="false" ht="22.35" hidden="false" customHeight="false" outlineLevel="0" collapsed="false">
      <c r="B14" s="16" t="s">
        <v>44</v>
      </c>
      <c r="C14" s="17" t="n">
        <v>30</v>
      </c>
      <c r="E14" s="18" t="s">
        <v>45</v>
      </c>
    </row>
    <row r="15" customFormat="false" ht="15" hidden="false" customHeight="false" outlineLevel="0" collapsed="false">
      <c r="B15" s="16" t="s">
        <v>46</v>
      </c>
      <c r="C15" s="23"/>
      <c r="E15" s="18" t="s">
        <v>47</v>
      </c>
    </row>
    <row r="16" customFormat="false" ht="15" hidden="false" customHeight="false" outlineLevel="0" collapsed="false">
      <c r="B16" s="16" t="s">
        <v>48</v>
      </c>
      <c r="C16" s="23"/>
      <c r="E16" s="18" t="s">
        <v>49</v>
      </c>
    </row>
    <row r="17" customFormat="false" ht="15" hidden="false" customHeight="false" outlineLevel="0" collapsed="false">
      <c r="B17" s="16" t="s">
        <v>50</v>
      </c>
      <c r="C17" s="24"/>
      <c r="E17" s="18" t="s">
        <v>51</v>
      </c>
    </row>
    <row r="18" customFormat="false" ht="15" hidden="false" customHeight="false" outlineLevel="0" collapsed="false">
      <c r="B18" s="16" t="s">
        <v>52</v>
      </c>
      <c r="C18" s="24"/>
      <c r="E18" s="18" t="s">
        <v>53</v>
      </c>
    </row>
    <row r="19" customFormat="false" ht="15" hidden="false" customHeight="false" outlineLevel="0" collapsed="false">
      <c r="B19" s="16" t="s">
        <v>54</v>
      </c>
      <c r="C19" s="25"/>
      <c r="E19" s="18" t="s">
        <v>55</v>
      </c>
    </row>
    <row r="21" customFormat="false" ht="15" hidden="false" customHeight="false" outlineLevel="0" collapsed="false">
      <c r="B21" s="15" t="s">
        <v>56</v>
      </c>
      <c r="C21" s="15"/>
      <c r="D21" s="15"/>
      <c r="E21" s="15"/>
    </row>
    <row r="22" customFormat="false" ht="22.35" hidden="false" customHeight="false" outlineLevel="0" collapsed="false">
      <c r="B22" s="16" t="s">
        <v>57</v>
      </c>
      <c r="C22" s="19" t="n">
        <v>5</v>
      </c>
      <c r="E22" s="18" t="s">
        <v>58</v>
      </c>
    </row>
    <row r="23" customFormat="false" ht="22.35" hidden="false" customHeight="false" outlineLevel="0" collapsed="false">
      <c r="B23" s="16" t="s">
        <v>59</v>
      </c>
      <c r="C23" s="19" t="n">
        <v>10</v>
      </c>
      <c r="E23" s="18" t="s">
        <v>60</v>
      </c>
    </row>
    <row r="24" customFormat="false" ht="15" hidden="false" customHeight="false" outlineLevel="0" collapsed="false">
      <c r="B24" s="16" t="s">
        <v>61</v>
      </c>
      <c r="C24" s="19" t="n">
        <v>30</v>
      </c>
      <c r="E24" s="18" t="s">
        <v>62</v>
      </c>
    </row>
    <row r="25" customFormat="false" ht="15" hidden="false" customHeight="false" outlineLevel="0" collapsed="false">
      <c r="B25" s="16" t="s">
        <v>63</v>
      </c>
      <c r="C25" s="19" t="n">
        <v>60</v>
      </c>
      <c r="E25" s="18" t="s">
        <v>62</v>
      </c>
    </row>
    <row r="26" customFormat="false" ht="15" hidden="false" customHeight="false" outlineLevel="0" collapsed="false">
      <c r="B26" s="16" t="s">
        <v>64</v>
      </c>
      <c r="C26" s="25"/>
      <c r="E26" s="18" t="s">
        <v>65</v>
      </c>
    </row>
    <row r="27" customFormat="false" ht="22.35" hidden="false" customHeight="false" outlineLevel="0" collapsed="false">
      <c r="B27" s="16" t="s">
        <v>66</v>
      </c>
      <c r="C27" s="20" t="n">
        <v>0</v>
      </c>
      <c r="E27" s="18" t="s">
        <v>67</v>
      </c>
    </row>
    <row r="29" customFormat="false" ht="15" hidden="false" customHeight="false" outlineLevel="0" collapsed="false">
      <c r="B29" s="15" t="s">
        <v>68</v>
      </c>
      <c r="C29" s="15"/>
      <c r="D29" s="15"/>
      <c r="E29" s="15"/>
    </row>
    <row r="30" customFormat="false" ht="15" hidden="false" customHeight="false" outlineLevel="0" collapsed="false">
      <c r="B30" s="16" t="s">
        <v>69</v>
      </c>
      <c r="C30" s="26"/>
      <c r="E30" s="18" t="s">
        <v>70</v>
      </c>
    </row>
    <row r="31" customFormat="false" ht="15" hidden="false" customHeight="false" outlineLevel="0" collapsed="false">
      <c r="B31" s="16" t="s">
        <v>71</v>
      </c>
      <c r="C31" s="19" t="n">
        <v>6</v>
      </c>
      <c r="E31" s="18" t="s">
        <v>72</v>
      </c>
    </row>
    <row r="32" customFormat="false" ht="22.35" hidden="false" customHeight="false" outlineLevel="0" collapsed="false">
      <c r="B32" s="16" t="s">
        <v>73</v>
      </c>
      <c r="C32" s="27" t="n">
        <v>0.00025</v>
      </c>
      <c r="E32" s="18" t="s">
        <v>74</v>
      </c>
    </row>
    <row r="33" customFormat="false" ht="15" hidden="false" customHeight="false" outlineLevel="0" collapsed="false">
      <c r="B33" s="16" t="s">
        <v>75</v>
      </c>
      <c r="C33" s="27" t="n">
        <v>0.00125</v>
      </c>
      <c r="E33" s="18" t="s">
        <v>76</v>
      </c>
    </row>
    <row r="34" customFormat="false" ht="15" hidden="false" customHeight="false" outlineLevel="0" collapsed="false">
      <c r="B34" s="16" t="s">
        <v>77</v>
      </c>
      <c r="C34" s="19" t="n">
        <v>500</v>
      </c>
      <c r="E34" s="18" t="s">
        <v>78</v>
      </c>
    </row>
    <row r="35" customFormat="false" ht="15" hidden="false" customHeight="false" outlineLevel="0" collapsed="false">
      <c r="B35" s="16" t="s">
        <v>79</v>
      </c>
      <c r="C35" s="19" t="n">
        <v>300</v>
      </c>
      <c r="E35" s="18" t="s">
        <v>80</v>
      </c>
    </row>
    <row r="36" customFormat="false" ht="22.35" hidden="false" customHeight="false" outlineLevel="0" collapsed="false">
      <c r="B36" s="16" t="s">
        <v>81</v>
      </c>
      <c r="C36" s="22" t="n">
        <v>0.02</v>
      </c>
      <c r="E36" s="18" t="s">
        <v>82</v>
      </c>
    </row>
    <row r="37" customFormat="false" ht="15" hidden="false" customHeight="false" outlineLevel="0" collapsed="false">
      <c r="B37" s="16" t="s">
        <v>83</v>
      </c>
      <c r="C37" s="19" t="n">
        <v>50</v>
      </c>
      <c r="E37" s="18" t="s">
        <v>84</v>
      </c>
    </row>
    <row r="39" customFormat="false" ht="15" hidden="false" customHeight="false" outlineLevel="0" collapsed="false">
      <c r="B39" s="15" t="s">
        <v>85</v>
      </c>
      <c r="C39" s="15"/>
      <c r="D39" s="15"/>
      <c r="E39" s="15"/>
    </row>
    <row r="40" customFormat="false" ht="15" hidden="false" customHeight="false" outlineLevel="0" collapsed="false">
      <c r="B40" s="16" t="s">
        <v>86</v>
      </c>
      <c r="C40" s="17" t="n">
        <v>0</v>
      </c>
      <c r="E40" s="18" t="s">
        <v>87</v>
      </c>
    </row>
    <row r="41" customFormat="false" ht="15" hidden="false" customHeight="false" outlineLevel="0" collapsed="false">
      <c r="B41" s="16" t="s">
        <v>88</v>
      </c>
      <c r="C41" s="17" t="n">
        <v>25</v>
      </c>
      <c r="E41" s="18" t="s">
        <v>89</v>
      </c>
    </row>
    <row r="42" customFormat="false" ht="22.35" hidden="false" customHeight="false" outlineLevel="0" collapsed="false">
      <c r="B42" s="16" t="s">
        <v>90</v>
      </c>
      <c r="C42" s="24"/>
      <c r="E42" s="18" t="s">
        <v>91</v>
      </c>
    </row>
    <row r="43" customFormat="false" ht="22.35" hidden="false" customHeight="false" outlineLevel="0" collapsed="false">
      <c r="B43" s="16" t="s">
        <v>92</v>
      </c>
      <c r="C43" s="17" t="n">
        <v>0</v>
      </c>
      <c r="E43" s="18" t="s">
        <v>93</v>
      </c>
    </row>
    <row r="44" customFormat="false" ht="15" hidden="false" customHeight="false" outlineLevel="0" collapsed="false">
      <c r="B44" s="16" t="s">
        <v>94</v>
      </c>
      <c r="C44" s="17" t="n">
        <v>20</v>
      </c>
      <c r="E44" s="18" t="s">
        <v>95</v>
      </c>
    </row>
    <row r="45" customFormat="false" ht="15" hidden="false" customHeight="false" outlineLevel="0" collapsed="false">
      <c r="B45" s="16" t="s">
        <v>96</v>
      </c>
      <c r="C45" s="17" t="n">
        <v>0</v>
      </c>
      <c r="E45" s="18" t="s">
        <v>97</v>
      </c>
    </row>
    <row r="46" customFormat="false" ht="15" hidden="false" customHeight="false" outlineLevel="0" collapsed="false">
      <c r="B46" s="16" t="s">
        <v>98</v>
      </c>
      <c r="C46" s="17" t="n">
        <v>0</v>
      </c>
      <c r="E46" s="18" t="s">
        <v>99</v>
      </c>
    </row>
    <row r="47" customFormat="false" ht="15" hidden="false" customHeight="false" outlineLevel="0" collapsed="false">
      <c r="B47" s="16" t="s">
        <v>100</v>
      </c>
      <c r="C47" s="17" t="n">
        <v>10</v>
      </c>
      <c r="E47" s="18" t="s">
        <v>101</v>
      </c>
    </row>
    <row r="48" customFormat="false" ht="15" hidden="false" customHeight="false" outlineLevel="0" collapsed="false">
      <c r="B48" s="16" t="s">
        <v>102</v>
      </c>
      <c r="C48" s="17" t="n">
        <v>0</v>
      </c>
      <c r="E48" s="18" t="s">
        <v>103</v>
      </c>
    </row>
    <row r="49" customFormat="false" ht="15" hidden="false" customHeight="false" outlineLevel="0" collapsed="false">
      <c r="B49" s="16" t="s">
        <v>104</v>
      </c>
      <c r="C49" s="23"/>
      <c r="E49" s="18" t="s">
        <v>105</v>
      </c>
    </row>
    <row r="51" customFormat="false" ht="15" hidden="false" customHeight="false" outlineLevel="0" collapsed="false">
      <c r="B51" s="15" t="s">
        <v>106</v>
      </c>
      <c r="C51" s="15"/>
      <c r="D51" s="15"/>
      <c r="E51" s="15"/>
    </row>
    <row r="52" customFormat="false" ht="22.35" hidden="false" customHeight="false" outlineLevel="0" collapsed="false">
      <c r="B52" s="16" t="s">
        <v>107</v>
      </c>
      <c r="C52" s="17" t="n">
        <v>200</v>
      </c>
      <c r="E52" s="18" t="s">
        <v>108</v>
      </c>
    </row>
    <row r="53" customFormat="false" ht="15" hidden="false" customHeight="false" outlineLevel="0" collapsed="false">
      <c r="B53" s="16" t="s">
        <v>109</v>
      </c>
      <c r="C53" s="17" t="n">
        <v>375</v>
      </c>
      <c r="E53" s="18" t="s">
        <v>110</v>
      </c>
    </row>
    <row r="54" customFormat="false" ht="15" hidden="false" customHeight="false" outlineLevel="0" collapsed="false">
      <c r="B54" s="16" t="s">
        <v>111</v>
      </c>
      <c r="C54" s="23"/>
      <c r="E54" s="18" t="s">
        <v>112</v>
      </c>
    </row>
    <row r="55" customFormat="false" ht="15" hidden="false" customHeight="false" outlineLevel="0" collapsed="false">
      <c r="B55" s="16" t="s">
        <v>113</v>
      </c>
      <c r="C55" s="23"/>
      <c r="E55" s="18" t="s">
        <v>114</v>
      </c>
    </row>
    <row r="56" customFormat="false" ht="15" hidden="false" customHeight="false" outlineLevel="0" collapsed="false">
      <c r="B56" s="16" t="s">
        <v>115</v>
      </c>
      <c r="C56" s="23"/>
      <c r="E56" s="18" t="s">
        <v>116</v>
      </c>
    </row>
    <row r="57" customFormat="false" ht="15" hidden="false" customHeight="false" outlineLevel="0" collapsed="false">
      <c r="B57" s="16" t="s">
        <v>117</v>
      </c>
      <c r="C57" s="23"/>
      <c r="E57" s="18" t="s">
        <v>118</v>
      </c>
    </row>
    <row r="58" customFormat="false" ht="15" hidden="false" customHeight="false" outlineLevel="0" collapsed="false">
      <c r="B58" s="16" t="s">
        <v>119</v>
      </c>
      <c r="C58" s="17" t="n">
        <v>0</v>
      </c>
      <c r="E58" s="18" t="s">
        <v>120</v>
      </c>
    </row>
    <row r="60" customFormat="false" ht="15" hidden="false" customHeight="false" outlineLevel="0" collapsed="false">
      <c r="B60" s="15" t="s">
        <v>121</v>
      </c>
      <c r="C60" s="15"/>
      <c r="D60" s="15"/>
      <c r="E60" s="15"/>
    </row>
    <row r="61" customFormat="false" ht="15" hidden="false" customHeight="false" outlineLevel="0" collapsed="false">
      <c r="B61" s="16" t="s">
        <v>122</v>
      </c>
      <c r="C61" s="17" t="n">
        <v>75</v>
      </c>
      <c r="E61" s="18" t="s">
        <v>123</v>
      </c>
    </row>
    <row r="62" customFormat="false" ht="15" hidden="false" customHeight="false" outlineLevel="0" collapsed="false">
      <c r="B62" s="16" t="s">
        <v>124</v>
      </c>
      <c r="C62" s="17" t="n">
        <v>150</v>
      </c>
      <c r="E62" s="18" t="s">
        <v>123</v>
      </c>
    </row>
    <row r="63" customFormat="false" ht="15" hidden="false" customHeight="false" outlineLevel="0" collapsed="false">
      <c r="B63" s="16" t="s">
        <v>125</v>
      </c>
      <c r="C63" s="19" t="n">
        <v>90</v>
      </c>
      <c r="E63" s="18" t="s">
        <v>126</v>
      </c>
    </row>
    <row r="64" customFormat="false" ht="15" hidden="false" customHeight="false" outlineLevel="0" collapsed="false">
      <c r="B64" s="16" t="s">
        <v>127</v>
      </c>
      <c r="C64" s="19" t="n">
        <v>116</v>
      </c>
      <c r="E64" s="18" t="s">
        <v>126</v>
      </c>
    </row>
    <row r="65" customFormat="false" ht="15" hidden="false" customHeight="false" outlineLevel="0" collapsed="false">
      <c r="B65" s="16" t="s">
        <v>128</v>
      </c>
      <c r="C65" s="25"/>
      <c r="E65" s="18" t="s">
        <v>129</v>
      </c>
    </row>
    <row r="66" customFormat="false" ht="15" hidden="false" customHeight="false" outlineLevel="0" collapsed="false">
      <c r="B66" s="16" t="s">
        <v>130</v>
      </c>
      <c r="C66" s="24"/>
      <c r="E66" s="18" t="s">
        <v>131</v>
      </c>
    </row>
    <row r="68" customFormat="false" ht="15" hidden="false" customHeight="false" outlineLevel="0" collapsed="false">
      <c r="B68" s="15" t="s">
        <v>132</v>
      </c>
      <c r="C68" s="15"/>
      <c r="D68" s="15"/>
      <c r="E68" s="15"/>
    </row>
    <row r="69" customFormat="false" ht="15" hidden="false" customHeight="false" outlineLevel="0" collapsed="false">
      <c r="B69" s="16" t="s">
        <v>133</v>
      </c>
      <c r="C69" s="17" t="n">
        <v>0</v>
      </c>
      <c r="E69" s="18" t="s">
        <v>134</v>
      </c>
    </row>
    <row r="70" customFormat="false" ht="15" hidden="false" customHeight="false" outlineLevel="0" collapsed="false">
      <c r="B70" s="16" t="s">
        <v>135</v>
      </c>
      <c r="C70" s="23"/>
      <c r="E70" s="18" t="s">
        <v>136</v>
      </c>
    </row>
    <row r="71" customFormat="false" ht="15" hidden="false" customHeight="false" outlineLevel="0" collapsed="false">
      <c r="B71" s="16" t="s">
        <v>137</v>
      </c>
      <c r="C71" s="23"/>
      <c r="E71" s="18" t="s">
        <v>138</v>
      </c>
    </row>
    <row r="73" customFormat="false" ht="15" hidden="false" customHeight="false" outlineLevel="0" collapsed="false">
      <c r="B73" s="15" t="s">
        <v>139</v>
      </c>
      <c r="C73" s="15"/>
      <c r="D73" s="15"/>
      <c r="E73" s="15"/>
    </row>
    <row r="74" customFormat="false" ht="15" hidden="false" customHeight="false" outlineLevel="0" collapsed="false">
      <c r="B74" s="16" t="s">
        <v>140</v>
      </c>
      <c r="C74" s="23"/>
      <c r="E74" s="18" t="s">
        <v>141</v>
      </c>
    </row>
    <row r="75" customFormat="false" ht="15" hidden="false" customHeight="false" outlineLevel="0" collapsed="false">
      <c r="B75" s="16" t="s">
        <v>142</v>
      </c>
      <c r="C75" s="23"/>
      <c r="E75" s="18" t="s">
        <v>143</v>
      </c>
    </row>
  </sheetData>
  <mergeCells count="10">
    <mergeCell ref="B3:E3"/>
    <mergeCell ref="B9:E9"/>
    <mergeCell ref="B13:E13"/>
    <mergeCell ref="B21:E21"/>
    <mergeCell ref="B29:E29"/>
    <mergeCell ref="B39:E39"/>
    <mergeCell ref="B51:E51"/>
    <mergeCell ref="B60:E60"/>
    <mergeCell ref="B68:E68"/>
    <mergeCell ref="B73:E7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V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20" min="3" style="0" width="12"/>
  </cols>
  <sheetData>
    <row r="1" customFormat="false" ht="16.15" hidden="false" customHeight="false" outlineLevel="0" collapsed="false">
      <c r="B1" s="28" t="s">
        <v>144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V1" s="29" t="s">
        <v>145</v>
      </c>
    </row>
    <row r="2" customFormat="false" ht="15.75" hidden="false" customHeight="true" outlineLevel="0" collapsed="false">
      <c r="B2" s="30" t="s">
        <v>146</v>
      </c>
      <c r="C2" s="31" t="s">
        <v>147</v>
      </c>
      <c r="D2" s="31" t="s">
        <v>148</v>
      </c>
      <c r="E2" s="31" t="s">
        <v>149</v>
      </c>
      <c r="F2" s="31" t="s">
        <v>150</v>
      </c>
      <c r="G2" s="31" t="s">
        <v>151</v>
      </c>
      <c r="H2" s="31" t="s">
        <v>152</v>
      </c>
      <c r="I2" s="31" t="s">
        <v>153</v>
      </c>
      <c r="J2" s="31" t="s">
        <v>154</v>
      </c>
      <c r="K2" s="31" t="s">
        <v>155</v>
      </c>
      <c r="L2" s="31" t="s">
        <v>156</v>
      </c>
      <c r="M2" s="31" t="s">
        <v>157</v>
      </c>
      <c r="N2" s="31" t="s">
        <v>158</v>
      </c>
      <c r="O2" s="31" t="s">
        <v>159</v>
      </c>
      <c r="P2" s="31" t="s">
        <v>160</v>
      </c>
      <c r="Q2" s="31" t="s">
        <v>161</v>
      </c>
      <c r="R2" s="31" t="s">
        <v>162</v>
      </c>
      <c r="S2" s="31" t="s">
        <v>163</v>
      </c>
      <c r="T2" s="31" t="s">
        <v>164</v>
      </c>
      <c r="V2" s="29" t="s">
        <v>165</v>
      </c>
    </row>
    <row r="3" customFormat="false" ht="15" hidden="false" customHeight="false" outlineLevel="0" collapsed="false">
      <c r="B3" s="15" t="s">
        <v>166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V3" s="29" t="s">
        <v>167</v>
      </c>
    </row>
    <row r="4" customFormat="false" ht="15" hidden="false" customHeight="false" outlineLevel="0" collapsed="false">
      <c r="B4" s="16" t="s">
        <v>168</v>
      </c>
      <c r="C4" s="32" t="n">
        <v>0</v>
      </c>
      <c r="D4" s="32" t="n">
        <v>0</v>
      </c>
      <c r="E4" s="32" t="n">
        <v>0</v>
      </c>
      <c r="F4" s="32" t="n">
        <v>0</v>
      </c>
      <c r="G4" s="33" t="n">
        <f aca="false">Assumptions!$C$23</f>
        <v>10</v>
      </c>
      <c r="H4" s="33" t="n">
        <f aca="false">Assumptions!$C$24</f>
        <v>30</v>
      </c>
      <c r="I4" s="33" t="n">
        <f aca="false">Assumptions!$C$25</f>
        <v>60</v>
      </c>
      <c r="J4" s="34" t="n">
        <f aca="false">IFERROR(ROUND(I4*(1+Assumptions!$C$26),0),"?")</f>
        <v>60</v>
      </c>
      <c r="K4" s="34" t="n">
        <f aca="false">IFERROR(ROUND(J4*(1+Assumptions!$C$26),0),"?")</f>
        <v>60</v>
      </c>
      <c r="L4" s="34" t="n">
        <f aca="false">IFERROR(ROUND(K4*(1+Assumptions!$C$26),0),"?")</f>
        <v>60</v>
      </c>
      <c r="M4" s="34" t="n">
        <f aca="false">IFERROR(ROUND(L4*(1+Assumptions!$C$26),0),"?")</f>
        <v>60</v>
      </c>
      <c r="N4" s="34" t="n">
        <f aca="false">IFERROR(ROUND(M4*(1+Assumptions!$C$26),0),"?")</f>
        <v>60</v>
      </c>
      <c r="O4" s="34" t="n">
        <f aca="false">IFERROR(ROUND(N4*(1+Assumptions!$C$26),0),"?")</f>
        <v>60</v>
      </c>
      <c r="P4" s="34" t="n">
        <f aca="false">IFERROR(ROUND(O4*(1+Assumptions!$C$26),0),"?")</f>
        <v>60</v>
      </c>
      <c r="Q4" s="34" t="n">
        <f aca="false">IFERROR(ROUND(P4*(1+Assumptions!$C$26),0),"?")</f>
        <v>60</v>
      </c>
      <c r="R4" s="34" t="n">
        <f aca="false">IFERROR(ROUND(Q4*(1+Assumptions!$C$26),0),"?")</f>
        <v>60</v>
      </c>
      <c r="S4" s="34" t="n">
        <f aca="false">IFERROR(ROUND(R4*(1+Assumptions!$C$26),0),"?")</f>
        <v>60</v>
      </c>
      <c r="T4" s="34" t="n">
        <f aca="false">IFERROR(ROUND(S4*(1+Assumptions!$C$26),0),"?")</f>
        <v>60</v>
      </c>
      <c r="V4" s="29" t="s">
        <v>169</v>
      </c>
    </row>
    <row r="5" customFormat="false" ht="15" hidden="false" customHeight="false" outlineLevel="0" collapsed="false">
      <c r="B5" s="7" t="s">
        <v>170</v>
      </c>
      <c r="C5" s="35" t="n">
        <f aca="false">-ROUND(C4*Assumptions!$C$6,0)</f>
        <v>-0</v>
      </c>
      <c r="D5" s="35" t="n">
        <f aca="false">-ROUND(D4*Assumptions!$C$6,0)</f>
        <v>-0</v>
      </c>
      <c r="E5" s="35" t="n">
        <f aca="false">-ROUND(E4*Assumptions!$C$6,0)</f>
        <v>-0</v>
      </c>
      <c r="F5" s="35" t="n">
        <f aca="false">-ROUND(F4*Assumptions!$C$6,0)</f>
        <v>-0</v>
      </c>
      <c r="G5" s="35" t="n">
        <f aca="false">-ROUND(G4*Assumptions!$C$6,0)</f>
        <v>-1</v>
      </c>
      <c r="H5" s="35" t="n">
        <f aca="false">-ROUND(H4*Assumptions!$C$6,0)</f>
        <v>-3</v>
      </c>
      <c r="I5" s="35" t="n">
        <f aca="false">-ROUND(I4*Assumptions!$C$6,0)</f>
        <v>-6</v>
      </c>
      <c r="J5" s="35" t="n">
        <f aca="false">-ROUND(J4*Assumptions!$C$6,0)</f>
        <v>-6</v>
      </c>
      <c r="K5" s="35" t="n">
        <f aca="false">-ROUND(K4*Assumptions!$C$6,0)</f>
        <v>-6</v>
      </c>
      <c r="L5" s="35" t="n">
        <f aca="false">-ROUND(L4*Assumptions!$C$6,0)</f>
        <v>-6</v>
      </c>
      <c r="M5" s="35" t="n">
        <f aca="false">-ROUND(M4*Assumptions!$C$6,0)</f>
        <v>-6</v>
      </c>
      <c r="N5" s="35" t="n">
        <f aca="false">-ROUND(N4*Assumptions!$C$6,0)</f>
        <v>-6</v>
      </c>
      <c r="O5" s="35" t="n">
        <f aca="false">-ROUND(O4*Assumptions!$C$6,0)</f>
        <v>-6</v>
      </c>
      <c r="P5" s="35" t="n">
        <f aca="false">-ROUND(P4*Assumptions!$C$6,0)</f>
        <v>-6</v>
      </c>
      <c r="Q5" s="35" t="n">
        <f aca="false">-ROUND(Q4*Assumptions!$C$6,0)</f>
        <v>-6</v>
      </c>
      <c r="R5" s="35" t="n">
        <f aca="false">-ROUND(R4*Assumptions!$C$6,0)</f>
        <v>-6</v>
      </c>
      <c r="S5" s="35" t="n">
        <f aca="false">-ROUND(S4*Assumptions!$C$6,0)</f>
        <v>-6</v>
      </c>
      <c r="T5" s="35" t="n">
        <f aca="false">-ROUND(T4*Assumptions!$C$6,0)</f>
        <v>-6</v>
      </c>
    </row>
    <row r="6" customFormat="false" ht="15" hidden="false" customHeight="false" outlineLevel="0" collapsed="false">
      <c r="B6" s="16" t="s">
        <v>171</v>
      </c>
      <c r="C6" s="36" t="n">
        <f aca="false">C4+C5</f>
        <v>0</v>
      </c>
      <c r="D6" s="36" t="n">
        <f aca="false">D4+D5</f>
        <v>0</v>
      </c>
      <c r="E6" s="36" t="n">
        <f aca="false">E4+E5</f>
        <v>0</v>
      </c>
      <c r="F6" s="36" t="n">
        <f aca="false">F4+F5</f>
        <v>0</v>
      </c>
      <c r="G6" s="36" t="n">
        <f aca="false">G4+G5</f>
        <v>9</v>
      </c>
      <c r="H6" s="36" t="n">
        <f aca="false">H4+H5</f>
        <v>27</v>
      </c>
      <c r="I6" s="36" t="n">
        <f aca="false">I4+I5</f>
        <v>54</v>
      </c>
      <c r="J6" s="36" t="n">
        <f aca="false">J4+J5</f>
        <v>54</v>
      </c>
      <c r="K6" s="36" t="n">
        <f aca="false">K4+K5</f>
        <v>54</v>
      </c>
      <c r="L6" s="36" t="n">
        <f aca="false">L4+L5</f>
        <v>54</v>
      </c>
      <c r="M6" s="36" t="n">
        <f aca="false">M4+M5</f>
        <v>54</v>
      </c>
      <c r="N6" s="36" t="n">
        <f aca="false">N4+N5</f>
        <v>54</v>
      </c>
      <c r="O6" s="36" t="n">
        <f aca="false">O4+O5</f>
        <v>54</v>
      </c>
      <c r="P6" s="36" t="n">
        <f aca="false">P4+P5</f>
        <v>54</v>
      </c>
      <c r="Q6" s="36" t="n">
        <f aca="false">Q4+Q5</f>
        <v>54</v>
      </c>
      <c r="R6" s="36" t="n">
        <f aca="false">R4+R5</f>
        <v>54</v>
      </c>
      <c r="S6" s="36" t="n">
        <f aca="false">S4+S5</f>
        <v>54</v>
      </c>
      <c r="T6" s="36" t="n">
        <f aca="false">T4+T5</f>
        <v>54</v>
      </c>
    </row>
    <row r="7" customFormat="false" ht="15" hidden="false" customHeight="false" outlineLevel="0" collapsed="false">
      <c r="B7" s="16" t="s">
        <v>172</v>
      </c>
      <c r="C7" s="35" t="n">
        <f aca="false">ROUND(C6*Assumptions!$C$7,0)</f>
        <v>0</v>
      </c>
      <c r="D7" s="35" t="n">
        <f aca="false">ROUND(D6*Assumptions!$C$7,0)</f>
        <v>0</v>
      </c>
      <c r="E7" s="35" t="n">
        <f aca="false">ROUND(E6*Assumptions!$C$7,0)</f>
        <v>0</v>
      </c>
      <c r="F7" s="35" t="n">
        <f aca="false">ROUND(F6*Assumptions!$C$7,0)</f>
        <v>0</v>
      </c>
      <c r="G7" s="35" t="n">
        <f aca="false">ROUND(G6*Assumptions!$C$7,0)</f>
        <v>4</v>
      </c>
      <c r="H7" s="35" t="n">
        <f aca="false">ROUND(H6*Assumptions!$C$7,0)</f>
        <v>11</v>
      </c>
      <c r="I7" s="35" t="n">
        <f aca="false">ROUND(I6*Assumptions!$C$7,0)</f>
        <v>22</v>
      </c>
      <c r="J7" s="35" t="n">
        <f aca="false">ROUND(J6*Assumptions!$C$7,0)</f>
        <v>22</v>
      </c>
      <c r="K7" s="35" t="n">
        <f aca="false">ROUND(K6*Assumptions!$C$7,0)</f>
        <v>22</v>
      </c>
      <c r="L7" s="35" t="n">
        <f aca="false">ROUND(L6*Assumptions!$C$7,0)</f>
        <v>22</v>
      </c>
      <c r="M7" s="35" t="n">
        <f aca="false">ROUND(M6*Assumptions!$C$7,0)</f>
        <v>22</v>
      </c>
      <c r="N7" s="35" t="n">
        <f aca="false">ROUND(N6*Assumptions!$C$7,0)</f>
        <v>22</v>
      </c>
      <c r="O7" s="35" t="n">
        <f aca="false">ROUND(O6*Assumptions!$C$7,0)</f>
        <v>22</v>
      </c>
      <c r="P7" s="35" t="n">
        <f aca="false">ROUND(P6*Assumptions!$C$7,0)</f>
        <v>22</v>
      </c>
      <c r="Q7" s="35" t="n">
        <f aca="false">ROUND(Q6*Assumptions!$C$7,0)</f>
        <v>22</v>
      </c>
      <c r="R7" s="35" t="n">
        <f aca="false">ROUND(R6*Assumptions!$C$7,0)</f>
        <v>22</v>
      </c>
      <c r="S7" s="35" t="n">
        <f aca="false">ROUND(S6*Assumptions!$C$7,0)</f>
        <v>22</v>
      </c>
      <c r="T7" s="35" t="n">
        <f aca="false">ROUND(T6*Assumptions!$C$7,0)</f>
        <v>22</v>
      </c>
    </row>
    <row r="8" customFormat="false" ht="15" hidden="false" customHeight="false" outlineLevel="0" collapsed="false">
      <c r="B8" s="16" t="s">
        <v>173</v>
      </c>
      <c r="C8" s="35" t="n">
        <f aca="false">C6-C7</f>
        <v>0</v>
      </c>
      <c r="D8" s="35" t="n">
        <f aca="false">D6-D7</f>
        <v>0</v>
      </c>
      <c r="E8" s="35" t="n">
        <f aca="false">E6-E7</f>
        <v>0</v>
      </c>
      <c r="F8" s="35" t="n">
        <f aca="false">F6-F7</f>
        <v>0</v>
      </c>
      <c r="G8" s="35" t="n">
        <f aca="false">G6-G7</f>
        <v>5</v>
      </c>
      <c r="H8" s="35" t="n">
        <f aca="false">H6-H7</f>
        <v>16</v>
      </c>
      <c r="I8" s="35" t="n">
        <f aca="false">I6-I7</f>
        <v>32</v>
      </c>
      <c r="J8" s="35" t="n">
        <f aca="false">J6-J7</f>
        <v>32</v>
      </c>
      <c r="K8" s="35" t="n">
        <f aca="false">K6-K7</f>
        <v>32</v>
      </c>
      <c r="L8" s="35" t="n">
        <f aca="false">L6-L7</f>
        <v>32</v>
      </c>
      <c r="M8" s="35" t="n">
        <f aca="false">M6-M7</f>
        <v>32</v>
      </c>
      <c r="N8" s="35" t="n">
        <f aca="false">N6-N7</f>
        <v>32</v>
      </c>
      <c r="O8" s="35" t="n">
        <f aca="false">O6-O7</f>
        <v>32</v>
      </c>
      <c r="P8" s="35" t="n">
        <f aca="false">P6-P7</f>
        <v>32</v>
      </c>
      <c r="Q8" s="35" t="n">
        <f aca="false">Q6-Q7</f>
        <v>32</v>
      </c>
      <c r="R8" s="35" t="n">
        <f aca="false">R6-R7</f>
        <v>32</v>
      </c>
      <c r="S8" s="35" t="n">
        <f aca="false">S6-S7</f>
        <v>32</v>
      </c>
      <c r="T8" s="35" t="n">
        <f aca="false">T6-T7</f>
        <v>32</v>
      </c>
    </row>
    <row r="9" customFormat="false" ht="15" hidden="false" customHeight="false" outlineLevel="0" collapsed="false">
      <c r="B9" s="16" t="s">
        <v>174</v>
      </c>
      <c r="C9" s="35" t="n">
        <f aca="false">C6</f>
        <v>0</v>
      </c>
      <c r="D9" s="35" t="n">
        <f aca="false">C9+D6</f>
        <v>0</v>
      </c>
      <c r="E9" s="35" t="n">
        <f aca="false">D9+E6</f>
        <v>0</v>
      </c>
      <c r="F9" s="35" t="n">
        <f aca="false">E9+F6</f>
        <v>0</v>
      </c>
      <c r="G9" s="35" t="n">
        <f aca="false">F9+G6</f>
        <v>9</v>
      </c>
      <c r="H9" s="35" t="n">
        <f aca="false">G9+H6</f>
        <v>36</v>
      </c>
      <c r="I9" s="35" t="n">
        <f aca="false">H9+I6</f>
        <v>90</v>
      </c>
      <c r="J9" s="35" t="n">
        <f aca="false">I9+J6</f>
        <v>144</v>
      </c>
      <c r="K9" s="35" t="n">
        <f aca="false">J9+K6</f>
        <v>198</v>
      </c>
      <c r="L9" s="35" t="n">
        <f aca="false">K9+L6</f>
        <v>252</v>
      </c>
      <c r="M9" s="35" t="n">
        <f aca="false">L9+M6</f>
        <v>306</v>
      </c>
      <c r="N9" s="35" t="n">
        <f aca="false">M9+N6</f>
        <v>360</v>
      </c>
      <c r="O9" s="35" t="n">
        <f aca="false">N9+O6</f>
        <v>414</v>
      </c>
      <c r="P9" s="35" t="n">
        <f aca="false">O9+P6</f>
        <v>468</v>
      </c>
      <c r="Q9" s="35" t="n">
        <f aca="false">P9+Q6</f>
        <v>522</v>
      </c>
      <c r="R9" s="35" t="n">
        <f aca="false">Q9+R6</f>
        <v>576</v>
      </c>
      <c r="S9" s="35" t="n">
        <f aca="false">R9+S6</f>
        <v>630</v>
      </c>
      <c r="T9" s="35" t="n">
        <f aca="false">S9+T6</f>
        <v>684</v>
      </c>
    </row>
    <row r="11" customFormat="false" ht="15" hidden="false" customHeight="false" outlineLevel="0" collapsed="false">
      <c r="B11" s="15" t="s">
        <v>175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</row>
    <row r="12" customFormat="false" ht="15" hidden="false" customHeight="false" outlineLevel="0" collapsed="false">
      <c r="B12" s="16" t="s">
        <v>176</v>
      </c>
      <c r="C12" s="37" t="n">
        <f aca="false">C6*Assumptions!$C$4</f>
        <v>0</v>
      </c>
      <c r="D12" s="37" t="n">
        <f aca="false">D6*Assumptions!$C$4</f>
        <v>0</v>
      </c>
      <c r="E12" s="37" t="n">
        <f aca="false">E6*Assumptions!$C$4</f>
        <v>0</v>
      </c>
      <c r="F12" s="37" t="n">
        <f aca="false">F6*Assumptions!$C$4</f>
        <v>0</v>
      </c>
      <c r="G12" s="37" t="n">
        <f aca="false">G6*Assumptions!$C$4</f>
        <v>441</v>
      </c>
      <c r="H12" s="37" t="n">
        <f aca="false">H6*Assumptions!$C$4</f>
        <v>1323</v>
      </c>
      <c r="I12" s="37" t="n">
        <f aca="false">I6*Assumptions!$C$4</f>
        <v>2646</v>
      </c>
      <c r="J12" s="37" t="n">
        <f aca="false">J6*Assumptions!$C$4</f>
        <v>2646</v>
      </c>
      <c r="K12" s="37" t="n">
        <f aca="false">K6*Assumptions!$C$4</f>
        <v>2646</v>
      </c>
      <c r="L12" s="37" t="n">
        <f aca="false">L6*Assumptions!$C$4</f>
        <v>2646</v>
      </c>
      <c r="M12" s="37" t="n">
        <f aca="false">M6*Assumptions!$C$4</f>
        <v>2646</v>
      </c>
      <c r="N12" s="37" t="n">
        <f aca="false">N6*Assumptions!$C$4</f>
        <v>2646</v>
      </c>
      <c r="O12" s="37" t="n">
        <f aca="false">O6*Assumptions!$C$4</f>
        <v>2646</v>
      </c>
      <c r="P12" s="37" t="n">
        <f aca="false">P6*Assumptions!$C$4</f>
        <v>2646</v>
      </c>
      <c r="Q12" s="37" t="n">
        <f aca="false">Q6*Assumptions!$C$4</f>
        <v>2646</v>
      </c>
      <c r="R12" s="37" t="n">
        <f aca="false">R6*Assumptions!$C$4</f>
        <v>2646</v>
      </c>
      <c r="S12" s="37" t="n">
        <f aca="false">S6*Assumptions!$C$4</f>
        <v>2646</v>
      </c>
      <c r="T12" s="37" t="n">
        <f aca="false">T6*Assumptions!$C$4</f>
        <v>2646</v>
      </c>
    </row>
    <row r="13" customFormat="false" ht="15" hidden="false" customHeight="false" outlineLevel="0" collapsed="false">
      <c r="B13" s="16" t="s">
        <v>177</v>
      </c>
      <c r="C13" s="37" t="n">
        <f aca="false">-((C4*Assumptions!$C$4*Assumptions!$C$10)+(C4*Assumptions!$C$11))</f>
        <v>-0</v>
      </c>
      <c r="D13" s="37" t="n">
        <f aca="false">-((D4*Assumptions!$C$4*Assumptions!$C$10)+(D4*Assumptions!$C$11))</f>
        <v>-0</v>
      </c>
      <c r="E13" s="37" t="n">
        <f aca="false">-((E4*Assumptions!$C$4*Assumptions!$C$10)+(E4*Assumptions!$C$11))</f>
        <v>-0</v>
      </c>
      <c r="F13" s="37" t="n">
        <f aca="false">-((F4*Assumptions!$C$4*Assumptions!$C$10)+(F4*Assumptions!$C$11))</f>
        <v>-0</v>
      </c>
      <c r="G13" s="37" t="n">
        <f aca="false">-((G4*Assumptions!$C$4*Assumptions!$C$10)+(G4*Assumptions!$C$11))</f>
        <v>-17.21</v>
      </c>
      <c r="H13" s="37" t="n">
        <f aca="false">-((H4*Assumptions!$C$4*Assumptions!$C$10)+(H4*Assumptions!$C$11))</f>
        <v>-51.63</v>
      </c>
      <c r="I13" s="37" t="n">
        <f aca="false">-((I4*Assumptions!$C$4*Assumptions!$C$10)+(I4*Assumptions!$C$11))</f>
        <v>-103.26</v>
      </c>
      <c r="J13" s="37" t="n">
        <f aca="false">-((J4*Assumptions!$C$4*Assumptions!$C$10)+(J4*Assumptions!$C$11))</f>
        <v>-103.26</v>
      </c>
      <c r="K13" s="37" t="n">
        <f aca="false">-((K4*Assumptions!$C$4*Assumptions!$C$10)+(K4*Assumptions!$C$11))</f>
        <v>-103.26</v>
      </c>
      <c r="L13" s="37" t="n">
        <f aca="false">-((L4*Assumptions!$C$4*Assumptions!$C$10)+(L4*Assumptions!$C$11))</f>
        <v>-103.26</v>
      </c>
      <c r="M13" s="37" t="n">
        <f aca="false">-((M4*Assumptions!$C$4*Assumptions!$C$10)+(M4*Assumptions!$C$11))</f>
        <v>-103.26</v>
      </c>
      <c r="N13" s="37" t="n">
        <f aca="false">-((N4*Assumptions!$C$4*Assumptions!$C$10)+(N4*Assumptions!$C$11))</f>
        <v>-103.26</v>
      </c>
      <c r="O13" s="37" t="n">
        <f aca="false">-((O4*Assumptions!$C$4*Assumptions!$C$10)+(O4*Assumptions!$C$11))</f>
        <v>-103.26</v>
      </c>
      <c r="P13" s="37" t="n">
        <f aca="false">-((P4*Assumptions!$C$4*Assumptions!$C$10)+(P4*Assumptions!$C$11))</f>
        <v>-103.26</v>
      </c>
      <c r="Q13" s="37" t="n">
        <f aca="false">-((Q4*Assumptions!$C$4*Assumptions!$C$10)+(Q4*Assumptions!$C$11))</f>
        <v>-103.26</v>
      </c>
      <c r="R13" s="37" t="n">
        <f aca="false">-((R4*Assumptions!$C$4*Assumptions!$C$10)+(R4*Assumptions!$C$11))</f>
        <v>-103.26</v>
      </c>
      <c r="S13" s="37" t="n">
        <f aca="false">-((S4*Assumptions!$C$4*Assumptions!$C$10)+(S4*Assumptions!$C$11))</f>
        <v>-103.26</v>
      </c>
      <c r="T13" s="37" t="n">
        <f aca="false">-((T4*Assumptions!$C$4*Assumptions!$C$10)+(T4*Assumptions!$C$11))</f>
        <v>-103.26</v>
      </c>
    </row>
    <row r="14" customFormat="false" ht="15" hidden="false" customHeight="false" outlineLevel="0" collapsed="false">
      <c r="B14" s="16" t="s">
        <v>178</v>
      </c>
      <c r="C14" s="38" t="n">
        <f aca="false">C12+C13</f>
        <v>0</v>
      </c>
      <c r="D14" s="38" t="n">
        <f aca="false">D12+D13</f>
        <v>0</v>
      </c>
      <c r="E14" s="38" t="n">
        <f aca="false">E12+E13</f>
        <v>0</v>
      </c>
      <c r="F14" s="38" t="n">
        <f aca="false">F12+F13</f>
        <v>0</v>
      </c>
      <c r="G14" s="38" t="n">
        <f aca="false">G12+G13</f>
        <v>423.79</v>
      </c>
      <c r="H14" s="38" t="n">
        <f aca="false">H12+H13</f>
        <v>1271.37</v>
      </c>
      <c r="I14" s="38" t="n">
        <f aca="false">I12+I13</f>
        <v>2542.74</v>
      </c>
      <c r="J14" s="38" t="n">
        <f aca="false">J12+J13</f>
        <v>2542.74</v>
      </c>
      <c r="K14" s="38" t="n">
        <f aca="false">K12+K13</f>
        <v>2542.74</v>
      </c>
      <c r="L14" s="38" t="n">
        <f aca="false">L12+L13</f>
        <v>2542.74</v>
      </c>
      <c r="M14" s="38" t="n">
        <f aca="false">M12+M13</f>
        <v>2542.74</v>
      </c>
      <c r="N14" s="38" t="n">
        <f aca="false">N12+N13</f>
        <v>2542.74</v>
      </c>
      <c r="O14" s="38" t="n">
        <f aca="false">O12+O13</f>
        <v>2542.74</v>
      </c>
      <c r="P14" s="38" t="n">
        <f aca="false">P12+P13</f>
        <v>2542.74</v>
      </c>
      <c r="Q14" s="38" t="n">
        <f aca="false">Q12+Q13</f>
        <v>2542.74</v>
      </c>
      <c r="R14" s="38" t="n">
        <f aca="false">R12+R13</f>
        <v>2542.74</v>
      </c>
      <c r="S14" s="38" t="n">
        <f aca="false">S12+S13</f>
        <v>2542.74</v>
      </c>
      <c r="T14" s="38" t="n">
        <f aca="false">T12+T13</f>
        <v>2542.74</v>
      </c>
    </row>
  </sheetData>
  <mergeCells count="3">
    <mergeCell ref="B1:T1"/>
    <mergeCell ref="B3:T3"/>
    <mergeCell ref="B11:T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V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20" min="3" style="0" width="12"/>
  </cols>
  <sheetData>
    <row r="1" customFormat="false" ht="16.15" hidden="false" customHeight="false" outlineLevel="0" collapsed="false">
      <c r="B1" s="28" t="s">
        <v>179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V1" s="29" t="s">
        <v>180</v>
      </c>
    </row>
    <row r="2" customFormat="false" ht="15.75" hidden="false" customHeight="true" outlineLevel="0" collapsed="false">
      <c r="B2" s="30" t="s">
        <v>146</v>
      </c>
      <c r="C2" s="31" t="s">
        <v>147</v>
      </c>
      <c r="D2" s="31" t="s">
        <v>148</v>
      </c>
      <c r="E2" s="31" t="s">
        <v>149</v>
      </c>
      <c r="F2" s="31" t="s">
        <v>150</v>
      </c>
      <c r="G2" s="31" t="s">
        <v>151</v>
      </c>
      <c r="H2" s="31" t="s">
        <v>152</v>
      </c>
      <c r="I2" s="31" t="s">
        <v>153</v>
      </c>
      <c r="J2" s="31" t="s">
        <v>154</v>
      </c>
      <c r="K2" s="31" t="s">
        <v>155</v>
      </c>
      <c r="L2" s="31" t="s">
        <v>156</v>
      </c>
      <c r="M2" s="31" t="s">
        <v>157</v>
      </c>
      <c r="N2" s="31" t="s">
        <v>158</v>
      </c>
      <c r="O2" s="31" t="s">
        <v>159</v>
      </c>
      <c r="P2" s="31" t="s">
        <v>160</v>
      </c>
      <c r="Q2" s="31" t="s">
        <v>161</v>
      </c>
      <c r="R2" s="31" t="s">
        <v>162</v>
      </c>
      <c r="S2" s="31" t="s">
        <v>163</v>
      </c>
      <c r="T2" s="31" t="s">
        <v>164</v>
      </c>
    </row>
    <row r="3" customFormat="false" ht="15" hidden="false" customHeight="false" outlineLevel="0" collapsed="false">
      <c r="B3" s="15" t="s">
        <v>181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</row>
    <row r="4" customFormat="false" ht="15" hidden="false" customHeight="false" outlineLevel="0" collapsed="false">
      <c r="B4" s="16" t="s">
        <v>182</v>
      </c>
      <c r="C4" s="39" t="n">
        <f aca="false">IFERROR((Assumptions!$C$30*4)*((Assumptions!$C$34/1000*Assumptions!$C$32)+(Assumptions!$C$35/1000*Assumptions!$C$33)+(Assumptions!$C$37/1000000*Assumptions!$C$36)),"?")</f>
        <v>0</v>
      </c>
      <c r="D4" s="39" t="n">
        <f aca="false">IFERROR((Assumptions!$C$30*4)*((Assumptions!$C$34/1000*Assumptions!$C$32)+(Assumptions!$C$35/1000*Assumptions!$C$33)+(Assumptions!$C$37/1000000*Assumptions!$C$36)),"?")</f>
        <v>0</v>
      </c>
      <c r="E4" s="39" t="n">
        <f aca="false">IFERROR((Assumptions!$C$30*4)*((Assumptions!$C$34/1000*Assumptions!$C$32)+(Assumptions!$C$35/1000*Assumptions!$C$33)+(Assumptions!$C$37/1000000*Assumptions!$C$36)),"?")</f>
        <v>0</v>
      </c>
      <c r="F4" s="39" t="n">
        <f aca="false">IFERROR((Assumptions!$C$30*4)*((Assumptions!$C$34/1000*Assumptions!$C$32)+(Assumptions!$C$35/1000*Assumptions!$C$33)+(Assumptions!$C$37/1000000*Assumptions!$C$36)),"?")</f>
        <v>0</v>
      </c>
      <c r="G4" s="39" t="n">
        <f aca="false">IFERROR((Assumptions!$C$30*4)*((Assumptions!$C$34/1000*Assumptions!$C$32)+(Assumptions!$C$35/1000*Assumptions!$C$33)+(Assumptions!$C$37/1000000*Assumptions!$C$36)),"?")</f>
        <v>0</v>
      </c>
      <c r="H4" s="39" t="n">
        <f aca="false">IFERROR((Assumptions!$C$30*4)*((Assumptions!$C$34/1000*Assumptions!$C$32)+(Assumptions!$C$35/1000*Assumptions!$C$33)+(Assumptions!$C$37/1000000*Assumptions!$C$36)),"?")</f>
        <v>0</v>
      </c>
      <c r="I4" s="39" t="n">
        <f aca="false">IFERROR((Assumptions!$C$30*4)*((Assumptions!$C$34/1000*Assumptions!$C$32)+(Assumptions!$C$35/1000*Assumptions!$C$33)+(Assumptions!$C$37/1000000*Assumptions!$C$36)),"?")</f>
        <v>0</v>
      </c>
      <c r="J4" s="39" t="n">
        <f aca="false">IFERROR((Assumptions!$C$30*4)*((Assumptions!$C$34/1000*Assumptions!$C$32)+(Assumptions!$C$35/1000*Assumptions!$C$33)+(Assumptions!$C$37/1000000*Assumptions!$C$36)),"?")</f>
        <v>0</v>
      </c>
      <c r="K4" s="39" t="n">
        <f aca="false">IFERROR((Assumptions!$C$30*4)*((Assumptions!$C$34/1000*Assumptions!$C$32)+(Assumptions!$C$35/1000*Assumptions!$C$33)+(Assumptions!$C$37/1000000*Assumptions!$C$36)),"?")</f>
        <v>0</v>
      </c>
      <c r="L4" s="39" t="n">
        <f aca="false">IFERROR((Assumptions!$C$30*4)*((Assumptions!$C$34/1000*Assumptions!$C$32)+(Assumptions!$C$35/1000*Assumptions!$C$33)+(Assumptions!$C$37/1000000*Assumptions!$C$36)),"?")</f>
        <v>0</v>
      </c>
      <c r="M4" s="39" t="n">
        <f aca="false">IFERROR((Assumptions!$C$30*4)*((Assumptions!$C$34/1000*Assumptions!$C$32)+(Assumptions!$C$35/1000*Assumptions!$C$33)+(Assumptions!$C$37/1000000*Assumptions!$C$36)),"?")</f>
        <v>0</v>
      </c>
      <c r="N4" s="39" t="n">
        <f aca="false">IFERROR((Assumptions!$C$30*4)*((Assumptions!$C$34/1000*Assumptions!$C$32)+(Assumptions!$C$35/1000*Assumptions!$C$33)+(Assumptions!$C$37/1000000*Assumptions!$C$36)),"?")</f>
        <v>0</v>
      </c>
      <c r="O4" s="39" t="n">
        <f aca="false">IFERROR((Assumptions!$C$30*4)*((Assumptions!$C$34/1000*Assumptions!$C$32)+(Assumptions!$C$35/1000*Assumptions!$C$33)+(Assumptions!$C$37/1000000*Assumptions!$C$36)),"?")</f>
        <v>0</v>
      </c>
      <c r="P4" s="39" t="n">
        <f aca="false">IFERROR((Assumptions!$C$30*4)*((Assumptions!$C$34/1000*Assumptions!$C$32)+(Assumptions!$C$35/1000*Assumptions!$C$33)+(Assumptions!$C$37/1000000*Assumptions!$C$36)),"?")</f>
        <v>0</v>
      </c>
      <c r="Q4" s="39" t="n">
        <f aca="false">IFERROR((Assumptions!$C$30*4)*((Assumptions!$C$34/1000*Assumptions!$C$32)+(Assumptions!$C$35/1000*Assumptions!$C$33)+(Assumptions!$C$37/1000000*Assumptions!$C$36)),"?")</f>
        <v>0</v>
      </c>
      <c r="R4" s="39" t="n">
        <f aca="false">IFERROR((Assumptions!$C$30*4)*((Assumptions!$C$34/1000*Assumptions!$C$32)+(Assumptions!$C$35/1000*Assumptions!$C$33)+(Assumptions!$C$37/1000000*Assumptions!$C$36)),"?")</f>
        <v>0</v>
      </c>
      <c r="S4" s="39" t="n">
        <f aca="false">IFERROR((Assumptions!$C$30*4)*((Assumptions!$C$34/1000*Assumptions!$C$32)+(Assumptions!$C$35/1000*Assumptions!$C$33)+(Assumptions!$C$37/1000000*Assumptions!$C$36)),"?")</f>
        <v>0</v>
      </c>
      <c r="T4" s="39" t="n">
        <f aca="false">IFERROR((Assumptions!$C$30*4)*((Assumptions!$C$34/1000*Assumptions!$C$32)+(Assumptions!$C$35/1000*Assumptions!$C$33)+(Assumptions!$C$37/1000000*Assumptions!$C$36)),"?")</f>
        <v>0</v>
      </c>
    </row>
    <row r="5" customFormat="false" ht="15" hidden="false" customHeight="false" outlineLevel="0" collapsed="false">
      <c r="B5" s="16" t="s">
        <v>183</v>
      </c>
      <c r="C5" s="40" t="n">
        <f aca="false">IFERROR(C4*Revenue!C6,0)</f>
        <v>0</v>
      </c>
      <c r="D5" s="40" t="n">
        <f aca="false">IFERROR(D4*Revenue!D6,0)</f>
        <v>0</v>
      </c>
      <c r="E5" s="40" t="n">
        <f aca="false">IFERROR(E4*Revenue!E6,0)</f>
        <v>0</v>
      </c>
      <c r="F5" s="40" t="n">
        <f aca="false">IFERROR(F4*Revenue!F6,0)</f>
        <v>0</v>
      </c>
      <c r="G5" s="40" t="n">
        <f aca="false">IFERROR(G4*Revenue!G6,0)</f>
        <v>0</v>
      </c>
      <c r="H5" s="40" t="n">
        <f aca="false">IFERROR(H4*Revenue!H6,0)</f>
        <v>0</v>
      </c>
      <c r="I5" s="40" t="n">
        <f aca="false">IFERROR(I4*Revenue!I6,0)</f>
        <v>0</v>
      </c>
      <c r="J5" s="40" t="n">
        <f aca="false">IFERROR(J4*Revenue!J6,0)</f>
        <v>0</v>
      </c>
      <c r="K5" s="40" t="n">
        <f aca="false">IFERROR(K4*Revenue!K6,0)</f>
        <v>0</v>
      </c>
      <c r="L5" s="40" t="n">
        <f aca="false">IFERROR(L4*Revenue!L6,0)</f>
        <v>0</v>
      </c>
      <c r="M5" s="40" t="n">
        <f aca="false">IFERROR(M4*Revenue!M6,0)</f>
        <v>0</v>
      </c>
      <c r="N5" s="40" t="n">
        <f aca="false">IFERROR(N4*Revenue!N6,0)</f>
        <v>0</v>
      </c>
      <c r="O5" s="40" t="n">
        <f aca="false">IFERROR(O4*Revenue!O6,0)</f>
        <v>0</v>
      </c>
      <c r="P5" s="40" t="n">
        <f aca="false">IFERROR(P4*Revenue!P6,0)</f>
        <v>0</v>
      </c>
      <c r="Q5" s="40" t="n">
        <f aca="false">IFERROR(Q4*Revenue!Q6,0)</f>
        <v>0</v>
      </c>
      <c r="R5" s="40" t="n">
        <f aca="false">IFERROR(R4*Revenue!R6,0)</f>
        <v>0</v>
      </c>
      <c r="S5" s="40" t="n">
        <f aca="false">IFERROR(S4*Revenue!S6,0)</f>
        <v>0</v>
      </c>
      <c r="T5" s="40" t="n">
        <f aca="false">IFERROR(T4*Revenue!T6,0)</f>
        <v>0</v>
      </c>
    </row>
    <row r="7" customFormat="false" ht="15" hidden="false" customHeight="false" outlineLevel="0" collapsed="false">
      <c r="B7" s="15" t="s">
        <v>184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</row>
    <row r="8" customFormat="false" ht="15" hidden="false" customHeight="false" outlineLevel="0" collapsed="false">
      <c r="B8" s="16" t="s">
        <v>185</v>
      </c>
      <c r="C8" s="41" t="n">
        <f aca="false">Assumptions!$C$40</f>
        <v>0</v>
      </c>
      <c r="D8" s="41" t="n">
        <f aca="false">Assumptions!$C$40</f>
        <v>0</v>
      </c>
      <c r="E8" s="41" t="n">
        <f aca="false">Assumptions!$C$40</f>
        <v>0</v>
      </c>
      <c r="F8" s="41" t="n">
        <f aca="false">Assumptions!$C$40</f>
        <v>0</v>
      </c>
      <c r="G8" s="41" t="n">
        <f aca="false">Assumptions!$C$41</f>
        <v>25</v>
      </c>
      <c r="H8" s="41" t="n">
        <f aca="false">Assumptions!$C$41</f>
        <v>25</v>
      </c>
      <c r="I8" s="41" t="n">
        <f aca="false">Assumptions!$C$41</f>
        <v>25</v>
      </c>
      <c r="J8" s="41" t="n">
        <f aca="false">Assumptions!$C$41</f>
        <v>25</v>
      </c>
      <c r="K8" s="41" t="n">
        <f aca="false">Assumptions!$C$41</f>
        <v>25</v>
      </c>
      <c r="L8" s="41" t="n">
        <f aca="false">Assumptions!$C$41</f>
        <v>25</v>
      </c>
      <c r="M8" s="41" t="n">
        <f aca="false">Assumptions!$C$41</f>
        <v>25</v>
      </c>
      <c r="N8" s="41" t="n">
        <f aca="false">Assumptions!$C$41</f>
        <v>25</v>
      </c>
      <c r="O8" s="41" t="n">
        <f aca="false">Assumptions!$C$41</f>
        <v>25</v>
      </c>
      <c r="P8" s="41" t="n">
        <f aca="false">Assumptions!$C$41</f>
        <v>25</v>
      </c>
      <c r="Q8" s="41" t="n">
        <f aca="false">Assumptions!$C$41</f>
        <v>25</v>
      </c>
      <c r="R8" s="41" t="n">
        <f aca="false">Assumptions!$C$41</f>
        <v>25</v>
      </c>
      <c r="S8" s="41" t="n">
        <f aca="false">Assumptions!$C$41</f>
        <v>25</v>
      </c>
      <c r="T8" s="41" t="n">
        <f aca="false">Assumptions!$C$41</f>
        <v>25</v>
      </c>
    </row>
    <row r="9" customFormat="false" ht="15" hidden="false" customHeight="false" outlineLevel="0" collapsed="false">
      <c r="B9" s="16" t="s">
        <v>186</v>
      </c>
      <c r="C9" s="41" t="n">
        <f aca="false">Assumptions!$C$43</f>
        <v>0</v>
      </c>
      <c r="D9" s="41" t="n">
        <f aca="false">Assumptions!$C$43</f>
        <v>0</v>
      </c>
      <c r="E9" s="41" t="n">
        <f aca="false">Assumptions!$C$43</f>
        <v>0</v>
      </c>
      <c r="F9" s="41" t="n">
        <f aca="false">Assumptions!$C$43</f>
        <v>0</v>
      </c>
      <c r="G9" s="41" t="n">
        <f aca="false">Assumptions!$C$43</f>
        <v>0</v>
      </c>
      <c r="H9" s="41" t="n">
        <f aca="false">Assumptions!$C$43</f>
        <v>0</v>
      </c>
      <c r="I9" s="41" t="n">
        <f aca="false">Assumptions!$C$43</f>
        <v>0</v>
      </c>
      <c r="J9" s="41" t="n">
        <f aca="false">Assumptions!$C$43</f>
        <v>0</v>
      </c>
      <c r="K9" s="41" t="n">
        <f aca="false">Assumptions!$C$43</f>
        <v>0</v>
      </c>
      <c r="L9" s="41" t="n">
        <f aca="false">Assumptions!$C$43</f>
        <v>0</v>
      </c>
      <c r="M9" s="41" t="n">
        <f aca="false">Assumptions!$C$43</f>
        <v>0</v>
      </c>
      <c r="N9" s="41" t="n">
        <f aca="false">Assumptions!$C$43</f>
        <v>0</v>
      </c>
      <c r="O9" s="41" t="n">
        <f aca="false">Assumptions!$C$43</f>
        <v>0</v>
      </c>
      <c r="P9" s="41" t="n">
        <f aca="false">Assumptions!$C$43</f>
        <v>0</v>
      </c>
      <c r="Q9" s="41" t="n">
        <f aca="false">Assumptions!$C$43</f>
        <v>0</v>
      </c>
      <c r="R9" s="41" t="n">
        <f aca="false">Assumptions!$C$43</f>
        <v>0</v>
      </c>
      <c r="S9" s="41" t="n">
        <f aca="false">Assumptions!$C$43</f>
        <v>0</v>
      </c>
      <c r="T9" s="41" t="n">
        <f aca="false">Assumptions!$C$43</f>
        <v>0</v>
      </c>
    </row>
    <row r="10" customFormat="false" ht="15" hidden="false" customHeight="false" outlineLevel="0" collapsed="false">
      <c r="B10" s="16" t="s">
        <v>187</v>
      </c>
      <c r="C10" s="41" t="n">
        <f aca="false">Assumptions!$C$47</f>
        <v>10</v>
      </c>
      <c r="D10" s="41" t="n">
        <f aca="false">Assumptions!$C$47</f>
        <v>10</v>
      </c>
      <c r="E10" s="41" t="n">
        <f aca="false">Assumptions!$C$47</f>
        <v>10</v>
      </c>
      <c r="F10" s="41" t="n">
        <f aca="false">Assumptions!$C$47</f>
        <v>10</v>
      </c>
      <c r="G10" s="41" t="n">
        <f aca="false">Assumptions!$C$47</f>
        <v>10</v>
      </c>
      <c r="H10" s="41" t="n">
        <f aca="false">Assumptions!$C$47</f>
        <v>10</v>
      </c>
      <c r="I10" s="41" t="n">
        <f aca="false">Assumptions!$C$47</f>
        <v>10</v>
      </c>
      <c r="J10" s="41" t="n">
        <f aca="false">Assumptions!$C$47</f>
        <v>10</v>
      </c>
      <c r="K10" s="41" t="n">
        <f aca="false">Assumptions!$C$47</f>
        <v>10</v>
      </c>
      <c r="L10" s="41" t="n">
        <f aca="false">Assumptions!$C$47</f>
        <v>10</v>
      </c>
      <c r="M10" s="41" t="n">
        <f aca="false">Assumptions!$C$47</f>
        <v>10</v>
      </c>
      <c r="N10" s="41" t="n">
        <f aca="false">Assumptions!$C$47</f>
        <v>10</v>
      </c>
      <c r="O10" s="41" t="n">
        <f aca="false">Assumptions!$C$47</f>
        <v>10</v>
      </c>
      <c r="P10" s="41" t="n">
        <f aca="false">Assumptions!$C$47</f>
        <v>10</v>
      </c>
      <c r="Q10" s="41" t="n">
        <f aca="false">Assumptions!$C$47</f>
        <v>10</v>
      </c>
      <c r="R10" s="41" t="n">
        <f aca="false">Assumptions!$C$47</f>
        <v>10</v>
      </c>
      <c r="S10" s="41" t="n">
        <f aca="false">Assumptions!$C$47</f>
        <v>10</v>
      </c>
      <c r="T10" s="41" t="n">
        <f aca="false">Assumptions!$C$47</f>
        <v>10</v>
      </c>
    </row>
    <row r="12" customFormat="false" ht="15" hidden="false" customHeight="false" outlineLevel="0" collapsed="false">
      <c r="B12" s="15" t="s">
        <v>188</v>
      </c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</row>
    <row r="13" customFormat="false" ht="15" hidden="false" customHeight="false" outlineLevel="0" collapsed="false">
      <c r="B13" s="16" t="s">
        <v>189</v>
      </c>
      <c r="C13" s="38" t="n">
        <f aca="false">C5+C8+C9+C10</f>
        <v>10</v>
      </c>
      <c r="D13" s="38" t="n">
        <f aca="false">D5+D8+D9+D10</f>
        <v>10</v>
      </c>
      <c r="E13" s="38" t="n">
        <f aca="false">E5+E8+E9+E10</f>
        <v>10</v>
      </c>
      <c r="F13" s="38" t="n">
        <f aca="false">F5+F8+F9+F10</f>
        <v>10</v>
      </c>
      <c r="G13" s="38" t="n">
        <f aca="false">G5+G8+G9+G10</f>
        <v>35</v>
      </c>
      <c r="H13" s="38" t="n">
        <f aca="false">H5+H8+H9+H10</f>
        <v>35</v>
      </c>
      <c r="I13" s="38" t="n">
        <f aca="false">I5+I8+I9+I10</f>
        <v>35</v>
      </c>
      <c r="J13" s="38" t="n">
        <f aca="false">J5+J8+J9+J10</f>
        <v>35</v>
      </c>
      <c r="K13" s="38" t="n">
        <f aca="false">K5+K8+K9+K10</f>
        <v>35</v>
      </c>
      <c r="L13" s="38" t="n">
        <f aca="false">L5+L8+L9+L10</f>
        <v>35</v>
      </c>
      <c r="M13" s="38" t="n">
        <f aca="false">M5+M8+M9+M10</f>
        <v>35</v>
      </c>
      <c r="N13" s="38" t="n">
        <f aca="false">N5+N8+N9+N10</f>
        <v>35</v>
      </c>
      <c r="O13" s="38" t="n">
        <f aca="false">O5+O8+O9+O10</f>
        <v>35</v>
      </c>
      <c r="P13" s="38" t="n">
        <f aca="false">P5+P8+P9+P10</f>
        <v>35</v>
      </c>
      <c r="Q13" s="38" t="n">
        <f aca="false">Q5+Q8+Q9+Q10</f>
        <v>35</v>
      </c>
      <c r="R13" s="38" t="n">
        <f aca="false">R5+R8+R9+R10</f>
        <v>35</v>
      </c>
      <c r="S13" s="38" t="n">
        <f aca="false">S5+S8+S9+S10</f>
        <v>35</v>
      </c>
      <c r="T13" s="38" t="n">
        <f aca="false">T5+T8+T9+T10</f>
        <v>35</v>
      </c>
    </row>
  </sheetData>
  <mergeCells count="4">
    <mergeCell ref="B1:T1"/>
    <mergeCell ref="B3:T3"/>
    <mergeCell ref="B7:T7"/>
    <mergeCell ref="B12:T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V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20" min="3" style="0" width="12"/>
  </cols>
  <sheetData>
    <row r="1" customFormat="false" ht="16.15" hidden="false" customHeight="false" outlineLevel="0" collapsed="false">
      <c r="B1" s="28" t="s">
        <v>190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V1" s="29" t="s">
        <v>191</v>
      </c>
    </row>
    <row r="2" customFormat="false" ht="15.75" hidden="false" customHeight="true" outlineLevel="0" collapsed="false">
      <c r="B2" s="30" t="s">
        <v>146</v>
      </c>
      <c r="C2" s="31" t="s">
        <v>147</v>
      </c>
      <c r="D2" s="31" t="s">
        <v>148</v>
      </c>
      <c r="E2" s="31" t="s">
        <v>149</v>
      </c>
      <c r="F2" s="31" t="s">
        <v>150</v>
      </c>
      <c r="G2" s="31" t="s">
        <v>151</v>
      </c>
      <c r="H2" s="31" t="s">
        <v>152</v>
      </c>
      <c r="I2" s="31" t="s">
        <v>153</v>
      </c>
      <c r="J2" s="31" t="s">
        <v>154</v>
      </c>
      <c r="K2" s="31" t="s">
        <v>155</v>
      </c>
      <c r="L2" s="31" t="s">
        <v>156</v>
      </c>
      <c r="M2" s="31" t="s">
        <v>157</v>
      </c>
      <c r="N2" s="31" t="s">
        <v>158</v>
      </c>
      <c r="O2" s="31" t="s">
        <v>159</v>
      </c>
      <c r="P2" s="31" t="s">
        <v>160</v>
      </c>
      <c r="Q2" s="31" t="s">
        <v>161</v>
      </c>
      <c r="R2" s="31" t="s">
        <v>162</v>
      </c>
      <c r="S2" s="31" t="s">
        <v>163</v>
      </c>
      <c r="T2" s="31" t="s">
        <v>164</v>
      </c>
    </row>
    <row r="3" customFormat="false" ht="15" hidden="false" customHeight="false" outlineLevel="0" collapsed="false">
      <c r="B3" s="15" t="s">
        <v>192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</row>
    <row r="4" customFormat="false" ht="15" hidden="false" customHeight="false" outlineLevel="0" collapsed="false">
      <c r="B4" s="16" t="s">
        <v>193</v>
      </c>
      <c r="C4" s="41" t="n">
        <f aca="false">ROUND((Assumptions!$C$63/4)*Assumptions!$C$61,0)</f>
        <v>1688</v>
      </c>
      <c r="D4" s="41" t="n">
        <f aca="false">ROUND((Assumptions!$C$63/4)*Assumptions!$C$61,0)</f>
        <v>1688</v>
      </c>
      <c r="E4" s="41" t="n">
        <f aca="false">ROUND((Assumptions!$C$63/4)*Assumptions!$C$61,0)</f>
        <v>1688</v>
      </c>
      <c r="F4" s="41" t="n">
        <f aca="false">ROUND((Assumptions!$C$63/4)*Assumptions!$C$61,0)</f>
        <v>1688</v>
      </c>
      <c r="G4" s="41" t="n">
        <v>0</v>
      </c>
      <c r="H4" s="41" t="n">
        <v>0</v>
      </c>
      <c r="I4" s="41" t="n">
        <v>0</v>
      </c>
      <c r="J4" s="41" t="n">
        <v>0</v>
      </c>
      <c r="K4" s="41" t="n">
        <v>0</v>
      </c>
      <c r="L4" s="41" t="n">
        <v>0</v>
      </c>
      <c r="M4" s="41" t="n">
        <v>0</v>
      </c>
      <c r="N4" s="41" t="n">
        <v>0</v>
      </c>
      <c r="O4" s="41" t="n">
        <v>0</v>
      </c>
      <c r="P4" s="41" t="n">
        <v>0</v>
      </c>
      <c r="Q4" s="41" t="n">
        <v>0</v>
      </c>
      <c r="R4" s="41" t="n">
        <v>0</v>
      </c>
      <c r="S4" s="41" t="n">
        <v>0</v>
      </c>
      <c r="T4" s="41" t="n">
        <v>0</v>
      </c>
    </row>
    <row r="5" customFormat="false" ht="15" hidden="false" customHeight="false" outlineLevel="0" collapsed="false">
      <c r="B5" s="16" t="s">
        <v>194</v>
      </c>
      <c r="C5" s="41" t="n">
        <f aca="false">ROUND((Assumptions!$C$64/4)*Assumptions!$C$62,0)</f>
        <v>4350</v>
      </c>
      <c r="D5" s="41" t="n">
        <f aca="false">ROUND((Assumptions!$C$64/4)*Assumptions!$C$62,0)</f>
        <v>4350</v>
      </c>
      <c r="E5" s="41" t="n">
        <f aca="false">ROUND((Assumptions!$C$64/4)*Assumptions!$C$62,0)</f>
        <v>4350</v>
      </c>
      <c r="F5" s="41" t="n">
        <f aca="false">ROUND((Assumptions!$C$64/4)*Assumptions!$C$62,0)</f>
        <v>4350</v>
      </c>
      <c r="G5" s="41" t="n">
        <v>0</v>
      </c>
      <c r="H5" s="41" t="n">
        <v>0</v>
      </c>
      <c r="I5" s="41" t="n">
        <v>0</v>
      </c>
      <c r="J5" s="41" t="n">
        <v>0</v>
      </c>
      <c r="K5" s="41" t="n">
        <v>0</v>
      </c>
      <c r="L5" s="41" t="n">
        <v>0</v>
      </c>
      <c r="M5" s="41" t="n">
        <v>0</v>
      </c>
      <c r="N5" s="41" t="n">
        <v>0</v>
      </c>
      <c r="O5" s="41" t="n">
        <v>0</v>
      </c>
      <c r="P5" s="41" t="n">
        <v>0</v>
      </c>
      <c r="Q5" s="41" t="n">
        <v>0</v>
      </c>
      <c r="R5" s="41" t="n">
        <v>0</v>
      </c>
      <c r="S5" s="41" t="n">
        <v>0</v>
      </c>
      <c r="T5" s="41" t="n">
        <v>0</v>
      </c>
    </row>
    <row r="6" customFormat="false" ht="15" hidden="false" customHeight="false" outlineLevel="0" collapsed="false">
      <c r="B6" s="16" t="s">
        <v>195</v>
      </c>
      <c r="C6" s="41" t="n">
        <v>0</v>
      </c>
      <c r="D6" s="41" t="n">
        <v>0</v>
      </c>
      <c r="E6" s="41" t="n">
        <v>0</v>
      </c>
      <c r="F6" s="41" t="n">
        <v>0</v>
      </c>
      <c r="G6" s="40" t="n">
        <f aca="false">IFERROR(Assumptions!$C$66*Assumptions!$C$61,"?")</f>
        <v>0</v>
      </c>
      <c r="H6" s="40" t="n">
        <f aca="false">IFERROR(Assumptions!$C$66*Assumptions!$C$61,"?")</f>
        <v>0</v>
      </c>
      <c r="I6" s="40" t="n">
        <f aca="false">IFERROR(Assumptions!$C$66*Assumptions!$C$61,"?")</f>
        <v>0</v>
      </c>
      <c r="J6" s="40" t="n">
        <f aca="false">IFERROR(Assumptions!$C$66*Assumptions!$C$61,"?")</f>
        <v>0</v>
      </c>
      <c r="K6" s="40" t="n">
        <f aca="false">IFERROR(Assumptions!$C$66*Assumptions!$C$61,"?")</f>
        <v>0</v>
      </c>
      <c r="L6" s="40" t="n">
        <f aca="false">IFERROR(Assumptions!$C$66*Assumptions!$C$61,"?")</f>
        <v>0</v>
      </c>
      <c r="M6" s="40" t="n">
        <f aca="false">IFERROR(Assumptions!$C$66*Assumptions!$C$61,"?")</f>
        <v>0</v>
      </c>
      <c r="N6" s="40" t="n">
        <f aca="false">IFERROR(Assumptions!$C$66*Assumptions!$C$61,"?")</f>
        <v>0</v>
      </c>
      <c r="O6" s="40" t="n">
        <f aca="false">IFERROR(Assumptions!$C$66*Assumptions!$C$61,"?")</f>
        <v>0</v>
      </c>
      <c r="P6" s="40" t="n">
        <f aca="false">IFERROR(Assumptions!$C$66*Assumptions!$C$61,"?")</f>
        <v>0</v>
      </c>
      <c r="Q6" s="40" t="n">
        <f aca="false">IFERROR(Assumptions!$C$66*Assumptions!$C$61,"?")</f>
        <v>0</v>
      </c>
      <c r="R6" s="40" t="n">
        <f aca="false">IFERROR(Assumptions!$C$66*Assumptions!$C$61,"?")</f>
        <v>0</v>
      </c>
      <c r="S6" s="40" t="n">
        <f aca="false">IFERROR(Assumptions!$C$66*Assumptions!$C$61,"?")</f>
        <v>0</v>
      </c>
      <c r="T6" s="40" t="n">
        <f aca="false">IFERROR(Assumptions!$C$66*Assumptions!$C$61,"?")</f>
        <v>0</v>
      </c>
    </row>
    <row r="8" customFormat="false" ht="15" hidden="false" customHeight="false" outlineLevel="0" collapsed="false">
      <c r="B8" s="15" t="s">
        <v>196</v>
      </c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</row>
    <row r="9" customFormat="false" ht="15" hidden="false" customHeight="false" outlineLevel="0" collapsed="false">
      <c r="B9" s="16" t="s">
        <v>197</v>
      </c>
      <c r="C9" s="41" t="n">
        <f aca="false">Assumptions!$C$52</f>
        <v>200</v>
      </c>
      <c r="D9" s="42" t="n">
        <v>0</v>
      </c>
      <c r="E9" s="42" t="n">
        <v>0</v>
      </c>
      <c r="F9" s="42" t="n">
        <v>0</v>
      </c>
      <c r="G9" s="42" t="n">
        <v>0</v>
      </c>
      <c r="H9" s="42" t="n">
        <v>0</v>
      </c>
      <c r="I9" s="42" t="n">
        <v>0</v>
      </c>
      <c r="J9" s="42" t="n">
        <v>0</v>
      </c>
      <c r="K9" s="42" t="n">
        <v>0</v>
      </c>
      <c r="L9" s="42" t="n">
        <v>0</v>
      </c>
      <c r="M9" s="42" t="n">
        <v>0</v>
      </c>
      <c r="N9" s="42" t="n">
        <v>0</v>
      </c>
      <c r="O9" s="42" t="n">
        <v>0</v>
      </c>
      <c r="P9" s="42" t="n">
        <v>0</v>
      </c>
      <c r="Q9" s="42" t="n">
        <v>0</v>
      </c>
      <c r="R9" s="42" t="n">
        <v>0</v>
      </c>
      <c r="S9" s="42" t="n">
        <v>0</v>
      </c>
      <c r="T9" s="42" t="n">
        <v>0</v>
      </c>
    </row>
    <row r="10" customFormat="false" ht="15" hidden="false" customHeight="false" outlineLevel="0" collapsed="false">
      <c r="B10" s="16" t="s">
        <v>198</v>
      </c>
      <c r="C10" s="41" t="n">
        <f aca="false">Assumptions!$C$53</f>
        <v>375</v>
      </c>
      <c r="D10" s="42" t="n">
        <v>0</v>
      </c>
      <c r="E10" s="42" t="n">
        <v>0</v>
      </c>
      <c r="F10" s="42" t="n">
        <v>0</v>
      </c>
      <c r="G10" s="42" t="n">
        <v>0</v>
      </c>
      <c r="H10" s="42" t="n">
        <v>0</v>
      </c>
      <c r="I10" s="42" t="n">
        <v>0</v>
      </c>
      <c r="J10" s="42" t="n">
        <v>0</v>
      </c>
      <c r="K10" s="42" t="n">
        <v>0</v>
      </c>
      <c r="L10" s="42" t="n">
        <v>0</v>
      </c>
      <c r="M10" s="42" t="n">
        <v>0</v>
      </c>
      <c r="N10" s="42" t="n">
        <v>0</v>
      </c>
      <c r="O10" s="42" t="n">
        <v>0</v>
      </c>
      <c r="P10" s="42" t="n">
        <v>0</v>
      </c>
      <c r="Q10" s="42" t="n">
        <v>0</v>
      </c>
      <c r="R10" s="42" t="n">
        <v>0</v>
      </c>
      <c r="S10" s="42" t="n">
        <v>0</v>
      </c>
      <c r="T10" s="42" t="n">
        <v>0</v>
      </c>
    </row>
    <row r="11" customFormat="false" ht="15" hidden="false" customHeight="false" outlineLevel="0" collapsed="false">
      <c r="B11" s="16" t="s">
        <v>199</v>
      </c>
      <c r="C11" s="43" t="s">
        <v>200</v>
      </c>
      <c r="D11" s="43" t="s">
        <v>200</v>
      </c>
      <c r="E11" s="43" t="s">
        <v>200</v>
      </c>
      <c r="F11" s="43" t="s">
        <v>200</v>
      </c>
      <c r="G11" s="43" t="s">
        <v>200</v>
      </c>
      <c r="H11" s="43" t="s">
        <v>200</v>
      </c>
      <c r="I11" s="43" t="s">
        <v>200</v>
      </c>
      <c r="J11" s="43" t="s">
        <v>200</v>
      </c>
      <c r="K11" s="43" t="s">
        <v>200</v>
      </c>
      <c r="L11" s="43" t="s">
        <v>200</v>
      </c>
      <c r="M11" s="43" t="s">
        <v>200</v>
      </c>
      <c r="N11" s="43" t="s">
        <v>200</v>
      </c>
      <c r="O11" s="43" t="s">
        <v>200</v>
      </c>
      <c r="P11" s="43" t="s">
        <v>200</v>
      </c>
      <c r="Q11" s="43" t="s">
        <v>200</v>
      </c>
      <c r="R11" s="43" t="s">
        <v>200</v>
      </c>
      <c r="S11" s="43" t="s">
        <v>200</v>
      </c>
      <c r="T11" s="43" t="s">
        <v>200</v>
      </c>
    </row>
    <row r="13" customFormat="false" ht="15" hidden="false" customHeight="false" outlineLevel="0" collapsed="false">
      <c r="B13" s="15" t="s">
        <v>201</v>
      </c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</row>
    <row r="14" customFormat="false" ht="15" hidden="false" customHeight="false" outlineLevel="0" collapsed="false">
      <c r="B14" s="16" t="s">
        <v>202</v>
      </c>
      <c r="C14" s="41" t="n">
        <f aca="false">Assumptions!$C$69</f>
        <v>0</v>
      </c>
      <c r="D14" s="41" t="n">
        <f aca="false">Assumptions!$C$69</f>
        <v>0</v>
      </c>
      <c r="E14" s="41" t="n">
        <f aca="false">Assumptions!$C$69</f>
        <v>0</v>
      </c>
      <c r="F14" s="41" t="n">
        <f aca="false">Assumptions!$C$69</f>
        <v>0</v>
      </c>
      <c r="G14" s="40" t="n">
        <f aca="false">IFERROR(Assumptions!$C$70,"?")</f>
        <v>0</v>
      </c>
      <c r="H14" s="40" t="n">
        <f aca="false">IFERROR(Assumptions!$C$70,"?")</f>
        <v>0</v>
      </c>
      <c r="I14" s="40" t="n">
        <f aca="false">IFERROR(Assumptions!$C$70,"?")</f>
        <v>0</v>
      </c>
      <c r="J14" s="40" t="n">
        <f aca="false">IFERROR(Assumptions!$C$70,"?")</f>
        <v>0</v>
      </c>
      <c r="K14" s="40" t="n">
        <f aca="false">IFERROR(Assumptions!$C$70,"?")</f>
        <v>0</v>
      </c>
      <c r="L14" s="40" t="n">
        <f aca="false">IFERROR(Assumptions!$C$70,"?")</f>
        <v>0</v>
      </c>
      <c r="M14" s="40" t="n">
        <f aca="false">IFERROR(Assumptions!$C$70,"?")</f>
        <v>0</v>
      </c>
      <c r="N14" s="40" t="n">
        <f aca="false">IFERROR(Assumptions!$C$70,"?")</f>
        <v>0</v>
      </c>
      <c r="O14" s="40" t="n">
        <f aca="false">IFERROR(Assumptions!$C$70,"?")</f>
        <v>0</v>
      </c>
      <c r="P14" s="40" t="n">
        <f aca="false">IFERROR(Assumptions!$C$70,"?")</f>
        <v>0</v>
      </c>
      <c r="Q14" s="40" t="n">
        <f aca="false">IFERROR(Assumptions!$C$70,"?")</f>
        <v>0</v>
      </c>
      <c r="R14" s="40" t="n">
        <f aca="false">IFERROR(Assumptions!$C$70,"?")</f>
        <v>0</v>
      </c>
      <c r="S14" s="40" t="n">
        <f aca="false">IFERROR(Assumptions!$C$70,"?")</f>
        <v>0</v>
      </c>
      <c r="T14" s="40" t="n">
        <f aca="false">IFERROR(Assumptions!$C$70,"?")</f>
        <v>0</v>
      </c>
    </row>
    <row r="15" customFormat="false" ht="15" hidden="false" customHeight="false" outlineLevel="0" collapsed="false">
      <c r="B15" s="16" t="s">
        <v>203</v>
      </c>
      <c r="C15" s="40" t="n">
        <f aca="false">IFERROR(Assumptions!$C$71,"?")</f>
        <v>0</v>
      </c>
      <c r="D15" s="40" t="n">
        <f aca="false">IFERROR(Assumptions!$C$71,"?")</f>
        <v>0</v>
      </c>
      <c r="E15" s="40" t="n">
        <f aca="false">IFERROR(Assumptions!$C$71,"?")</f>
        <v>0</v>
      </c>
      <c r="F15" s="40" t="n">
        <f aca="false">IFERROR(Assumptions!$C$71,"?")</f>
        <v>0</v>
      </c>
      <c r="G15" s="40" t="n">
        <f aca="false">IFERROR(Assumptions!$C$71,"?")</f>
        <v>0</v>
      </c>
      <c r="H15" s="40" t="n">
        <f aca="false">IFERROR(Assumptions!$C$71,"?")</f>
        <v>0</v>
      </c>
      <c r="I15" s="40" t="n">
        <f aca="false">IFERROR(Assumptions!$C$71,"?")</f>
        <v>0</v>
      </c>
      <c r="J15" s="40" t="n">
        <f aca="false">IFERROR(Assumptions!$C$71,"?")</f>
        <v>0</v>
      </c>
      <c r="K15" s="40" t="n">
        <f aca="false">IFERROR(Assumptions!$C$71,"?")</f>
        <v>0</v>
      </c>
      <c r="L15" s="40" t="n">
        <f aca="false">IFERROR(Assumptions!$C$71,"?")</f>
        <v>0</v>
      </c>
      <c r="M15" s="40" t="n">
        <f aca="false">IFERROR(Assumptions!$C$71,"?")</f>
        <v>0</v>
      </c>
      <c r="N15" s="40" t="n">
        <f aca="false">IFERROR(Assumptions!$C$71,"?")</f>
        <v>0</v>
      </c>
      <c r="O15" s="40" t="n">
        <f aca="false">IFERROR(Assumptions!$C$71,"?")</f>
        <v>0</v>
      </c>
      <c r="P15" s="40" t="n">
        <f aca="false">IFERROR(Assumptions!$C$71,"?")</f>
        <v>0</v>
      </c>
      <c r="Q15" s="40" t="n">
        <f aca="false">IFERROR(Assumptions!$C$71,"?")</f>
        <v>0</v>
      </c>
      <c r="R15" s="40" t="n">
        <f aca="false">IFERROR(Assumptions!$C$71,"?")</f>
        <v>0</v>
      </c>
      <c r="S15" s="40" t="n">
        <f aca="false">IFERROR(Assumptions!$C$71,"?")</f>
        <v>0</v>
      </c>
      <c r="T15" s="40" t="n">
        <f aca="false">IFERROR(Assumptions!$C$71,"?")</f>
        <v>0</v>
      </c>
    </row>
    <row r="17" customFormat="false" ht="15" hidden="false" customHeight="false" outlineLevel="0" collapsed="false">
      <c r="B17" s="15" t="s">
        <v>204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</row>
    <row r="18" customFormat="false" ht="15" hidden="false" customHeight="false" outlineLevel="0" collapsed="false">
      <c r="B18" s="16" t="s">
        <v>205</v>
      </c>
      <c r="C18" s="40" t="n">
        <f aca="false">IFERROR(Assumptions!$C$74,"?")</f>
        <v>0</v>
      </c>
      <c r="D18" s="40" t="n">
        <f aca="false">IFERROR(Assumptions!$C$74,"?")</f>
        <v>0</v>
      </c>
      <c r="E18" s="40" t="n">
        <f aca="false">IFERROR(Assumptions!$C$74,"?")</f>
        <v>0</v>
      </c>
      <c r="F18" s="40" t="n">
        <f aca="false">IFERROR(Assumptions!$C$74,"?")</f>
        <v>0</v>
      </c>
      <c r="G18" s="40" t="n">
        <f aca="false">IFERROR(Assumptions!$C$74,"?")</f>
        <v>0</v>
      </c>
      <c r="H18" s="40" t="n">
        <f aca="false">IFERROR(Assumptions!$C$74,"?")</f>
        <v>0</v>
      </c>
      <c r="I18" s="40" t="n">
        <f aca="false">IFERROR(Assumptions!$C$74,"?")</f>
        <v>0</v>
      </c>
      <c r="J18" s="40" t="n">
        <f aca="false">IFERROR(Assumptions!$C$74,"?")</f>
        <v>0</v>
      </c>
      <c r="K18" s="40" t="n">
        <f aca="false">IFERROR(Assumptions!$C$74,"?")</f>
        <v>0</v>
      </c>
      <c r="L18" s="40" t="n">
        <f aca="false">IFERROR(Assumptions!$C$74,"?")</f>
        <v>0</v>
      </c>
      <c r="M18" s="40" t="n">
        <f aca="false">IFERROR(Assumptions!$C$74,"?")</f>
        <v>0</v>
      </c>
      <c r="N18" s="40" t="n">
        <f aca="false">IFERROR(Assumptions!$C$74,"?")</f>
        <v>0</v>
      </c>
      <c r="O18" s="40" t="n">
        <f aca="false">IFERROR(Assumptions!$C$74,"?")</f>
        <v>0</v>
      </c>
      <c r="P18" s="40" t="n">
        <f aca="false">IFERROR(Assumptions!$C$74,"?")</f>
        <v>0</v>
      </c>
      <c r="Q18" s="40" t="n">
        <f aca="false">IFERROR(Assumptions!$C$74,"?")</f>
        <v>0</v>
      </c>
      <c r="R18" s="40" t="n">
        <f aca="false">IFERROR(Assumptions!$C$74,"?")</f>
        <v>0</v>
      </c>
      <c r="S18" s="40" t="n">
        <f aca="false">IFERROR(Assumptions!$C$74,"?")</f>
        <v>0</v>
      </c>
      <c r="T18" s="40" t="n">
        <f aca="false">IFERROR(Assumptions!$C$74,"?")</f>
        <v>0</v>
      </c>
    </row>
    <row r="19" customFormat="false" ht="15" hidden="false" customHeight="false" outlineLevel="0" collapsed="false">
      <c r="B19" s="16" t="s">
        <v>206</v>
      </c>
      <c r="C19" s="40" t="n">
        <f aca="false">IFERROR(Assumptions!$C$75,"?")</f>
        <v>0</v>
      </c>
      <c r="D19" s="40" t="n">
        <f aca="false">IFERROR(Assumptions!$C$75,"?")</f>
        <v>0</v>
      </c>
      <c r="E19" s="40" t="n">
        <f aca="false">IFERROR(Assumptions!$C$75,"?")</f>
        <v>0</v>
      </c>
      <c r="F19" s="40" t="n">
        <f aca="false">IFERROR(Assumptions!$C$75,"?")</f>
        <v>0</v>
      </c>
      <c r="G19" s="40" t="n">
        <f aca="false">IFERROR(Assumptions!$C$75,"?")</f>
        <v>0</v>
      </c>
      <c r="H19" s="40" t="n">
        <f aca="false">IFERROR(Assumptions!$C$75,"?")</f>
        <v>0</v>
      </c>
      <c r="I19" s="40" t="n">
        <f aca="false">IFERROR(Assumptions!$C$75,"?")</f>
        <v>0</v>
      </c>
      <c r="J19" s="40" t="n">
        <f aca="false">IFERROR(Assumptions!$C$75,"?")</f>
        <v>0</v>
      </c>
      <c r="K19" s="40" t="n">
        <f aca="false">IFERROR(Assumptions!$C$75,"?")</f>
        <v>0</v>
      </c>
      <c r="L19" s="40" t="n">
        <f aca="false">IFERROR(Assumptions!$C$75,"?")</f>
        <v>0</v>
      </c>
      <c r="M19" s="40" t="n">
        <f aca="false">IFERROR(Assumptions!$C$75,"?")</f>
        <v>0</v>
      </c>
      <c r="N19" s="40" t="n">
        <f aca="false">IFERROR(Assumptions!$C$75,"?")</f>
        <v>0</v>
      </c>
      <c r="O19" s="40" t="n">
        <f aca="false">IFERROR(Assumptions!$C$75,"?")</f>
        <v>0</v>
      </c>
      <c r="P19" s="40" t="n">
        <f aca="false">IFERROR(Assumptions!$C$75,"?")</f>
        <v>0</v>
      </c>
      <c r="Q19" s="40" t="n">
        <f aca="false">IFERROR(Assumptions!$C$75,"?")</f>
        <v>0</v>
      </c>
      <c r="R19" s="40" t="n">
        <f aca="false">IFERROR(Assumptions!$C$75,"?")</f>
        <v>0</v>
      </c>
      <c r="S19" s="40" t="n">
        <f aca="false">IFERROR(Assumptions!$C$75,"?")</f>
        <v>0</v>
      </c>
      <c r="T19" s="40" t="n">
        <f aca="false">IFERROR(Assumptions!$C$75,"?")</f>
        <v>0</v>
      </c>
    </row>
    <row r="21" customFormat="false" ht="15" hidden="false" customHeight="false" outlineLevel="0" collapsed="false">
      <c r="B21" s="15" t="s">
        <v>207</v>
      </c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</row>
    <row r="22" customFormat="false" ht="15" hidden="false" customHeight="false" outlineLevel="0" collapsed="false">
      <c r="B22" s="16" t="s">
        <v>208</v>
      </c>
      <c r="C22" s="40" t="n">
        <f aca="false">IFERROR(Assumptions!$C$49,"?")</f>
        <v>0</v>
      </c>
      <c r="D22" s="40" t="n">
        <f aca="false">IFERROR(Assumptions!$C$49,"?")</f>
        <v>0</v>
      </c>
      <c r="E22" s="40" t="n">
        <f aca="false">IFERROR(Assumptions!$C$49,"?")</f>
        <v>0</v>
      </c>
      <c r="F22" s="40" t="n">
        <f aca="false">IFERROR(Assumptions!$C$49,"?")</f>
        <v>0</v>
      </c>
      <c r="G22" s="40" t="n">
        <f aca="false">IFERROR(Assumptions!$C$49,"?")</f>
        <v>0</v>
      </c>
      <c r="H22" s="40" t="n">
        <f aca="false">IFERROR(Assumptions!$C$49,"?")</f>
        <v>0</v>
      </c>
      <c r="I22" s="40" t="n">
        <f aca="false">IFERROR(Assumptions!$C$49,"?")</f>
        <v>0</v>
      </c>
      <c r="J22" s="40" t="n">
        <f aca="false">IFERROR(Assumptions!$C$49,"?")</f>
        <v>0</v>
      </c>
      <c r="K22" s="40" t="n">
        <f aca="false">IFERROR(Assumptions!$C$49,"?")</f>
        <v>0</v>
      </c>
      <c r="L22" s="40" t="n">
        <f aca="false">IFERROR(Assumptions!$C$49,"?")</f>
        <v>0</v>
      </c>
      <c r="M22" s="40" t="n">
        <f aca="false">IFERROR(Assumptions!$C$49,"?")</f>
        <v>0</v>
      </c>
      <c r="N22" s="40" t="n">
        <f aca="false">IFERROR(Assumptions!$C$49,"?")</f>
        <v>0</v>
      </c>
      <c r="O22" s="40" t="n">
        <f aca="false">IFERROR(Assumptions!$C$49,"?")</f>
        <v>0</v>
      </c>
      <c r="P22" s="40" t="n">
        <f aca="false">IFERROR(Assumptions!$C$49,"?")</f>
        <v>0</v>
      </c>
      <c r="Q22" s="40" t="n">
        <f aca="false">IFERROR(Assumptions!$C$49,"?")</f>
        <v>0</v>
      </c>
      <c r="R22" s="40" t="n">
        <f aca="false">IFERROR(Assumptions!$C$49,"?")</f>
        <v>0</v>
      </c>
      <c r="S22" s="40" t="n">
        <f aca="false">IFERROR(Assumptions!$C$49,"?")</f>
        <v>0</v>
      </c>
      <c r="T22" s="40" t="n">
        <f aca="false">IFERROR(Assumptions!$C$49,"?")</f>
        <v>0</v>
      </c>
    </row>
    <row r="24" customFormat="false" ht="15" hidden="false" customHeight="false" outlineLevel="0" collapsed="false">
      <c r="B24" s="15" t="s">
        <v>209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</row>
    <row r="25" customFormat="false" ht="15" hidden="false" customHeight="false" outlineLevel="0" collapsed="false">
      <c r="B25" s="16" t="s">
        <v>210</v>
      </c>
      <c r="C25" s="38" t="n">
        <f aca="false">IFERROR(IF(ISNUMBER(C4),C4,0)+IF(ISNUMBER(C6),C6,0)+IF(ISNUMBER(C9),C9,0)+IF(ISNUMBER(C10),C10,0)+IF(ISNUMBER(C14),C14,0)+IF(ISNUMBER(C15),C15,0)+IF(ISNUMBER(C18),C18,0)+IF(ISNUMBER(C19),C19,0)+IF(ISNUMBER(C22),C22,0),0)</f>
        <v>2263</v>
      </c>
      <c r="D25" s="38" t="n">
        <f aca="false">IFERROR(IF(ISNUMBER(D4),D4,0)+IF(ISNUMBER(D6),D6,0)+IF(ISNUMBER(D9),D9,0)+IF(ISNUMBER(D10),D10,0)+IF(ISNUMBER(D14),D14,0)+IF(ISNUMBER(D15),D15,0)+IF(ISNUMBER(D18),D18,0)+IF(ISNUMBER(D19),D19,0)+IF(ISNUMBER(D22),D22,0),0)</f>
        <v>1688</v>
      </c>
      <c r="E25" s="38" t="n">
        <f aca="false">IFERROR(IF(ISNUMBER(E4),E4,0)+IF(ISNUMBER(E6),E6,0)+IF(ISNUMBER(E9),E9,0)+IF(ISNUMBER(E10),E10,0)+IF(ISNUMBER(E14),E14,0)+IF(ISNUMBER(E15),E15,0)+IF(ISNUMBER(E18),E18,0)+IF(ISNUMBER(E19),E19,0)+IF(ISNUMBER(E22),E22,0),0)</f>
        <v>1688</v>
      </c>
      <c r="F25" s="38" t="n">
        <f aca="false">IFERROR(IF(ISNUMBER(F4),F4,0)+IF(ISNUMBER(F6),F6,0)+IF(ISNUMBER(F9),F9,0)+IF(ISNUMBER(F10),F10,0)+IF(ISNUMBER(F14),F14,0)+IF(ISNUMBER(F15),F15,0)+IF(ISNUMBER(F18),F18,0)+IF(ISNUMBER(F19),F19,0)+IF(ISNUMBER(F22),F22,0),0)</f>
        <v>1688</v>
      </c>
      <c r="G25" s="38" t="n">
        <f aca="false">IFERROR(IF(ISNUMBER(G4),G4,0)+IF(ISNUMBER(G6),G6,0)+IF(ISNUMBER(G9),G9,0)+IF(ISNUMBER(G10),G10,0)+IF(ISNUMBER(G14),G14,0)+IF(ISNUMBER(G15),G15,0)+IF(ISNUMBER(G18),G18,0)+IF(ISNUMBER(G19),G19,0)+IF(ISNUMBER(G22),G22,0),0)</f>
        <v>0</v>
      </c>
      <c r="H25" s="38" t="n">
        <f aca="false">IFERROR(IF(ISNUMBER(H4),H4,0)+IF(ISNUMBER(H6),H6,0)+IF(ISNUMBER(H9),H9,0)+IF(ISNUMBER(H10),H10,0)+IF(ISNUMBER(H14),H14,0)+IF(ISNUMBER(H15),H15,0)+IF(ISNUMBER(H18),H18,0)+IF(ISNUMBER(H19),H19,0)+IF(ISNUMBER(H22),H22,0),0)</f>
        <v>0</v>
      </c>
      <c r="I25" s="38" t="n">
        <f aca="false">IFERROR(IF(ISNUMBER(I4),I4,0)+IF(ISNUMBER(I6),I6,0)+IF(ISNUMBER(I9),I9,0)+IF(ISNUMBER(I10),I10,0)+IF(ISNUMBER(I14),I14,0)+IF(ISNUMBER(I15),I15,0)+IF(ISNUMBER(I18),I18,0)+IF(ISNUMBER(I19),I19,0)+IF(ISNUMBER(I22),I22,0),0)</f>
        <v>0</v>
      </c>
      <c r="J25" s="38" t="n">
        <f aca="false">IFERROR(IF(ISNUMBER(J4),J4,0)+IF(ISNUMBER(J6),J6,0)+IF(ISNUMBER(J9),J9,0)+IF(ISNUMBER(J10),J10,0)+IF(ISNUMBER(J14),J14,0)+IF(ISNUMBER(J15),J15,0)+IF(ISNUMBER(J18),J18,0)+IF(ISNUMBER(J19),J19,0)+IF(ISNUMBER(J22),J22,0),0)</f>
        <v>0</v>
      </c>
      <c r="K25" s="38" t="n">
        <f aca="false">IFERROR(IF(ISNUMBER(K4),K4,0)+IF(ISNUMBER(K6),K6,0)+IF(ISNUMBER(K9),K9,0)+IF(ISNUMBER(K10),K10,0)+IF(ISNUMBER(K14),K14,0)+IF(ISNUMBER(K15),K15,0)+IF(ISNUMBER(K18),K18,0)+IF(ISNUMBER(K19),K19,0)+IF(ISNUMBER(K22),K22,0),0)</f>
        <v>0</v>
      </c>
      <c r="L25" s="38" t="n">
        <f aca="false">IFERROR(IF(ISNUMBER(L4),L4,0)+IF(ISNUMBER(L6),L6,0)+IF(ISNUMBER(L9),L9,0)+IF(ISNUMBER(L10),L10,0)+IF(ISNUMBER(L14),L14,0)+IF(ISNUMBER(L15),L15,0)+IF(ISNUMBER(L18),L18,0)+IF(ISNUMBER(L19),L19,0)+IF(ISNUMBER(L22),L22,0),0)</f>
        <v>0</v>
      </c>
      <c r="M25" s="38" t="n">
        <f aca="false">IFERROR(IF(ISNUMBER(M4),M4,0)+IF(ISNUMBER(M6),M6,0)+IF(ISNUMBER(M9),M9,0)+IF(ISNUMBER(M10),M10,0)+IF(ISNUMBER(M14),M14,0)+IF(ISNUMBER(M15),M15,0)+IF(ISNUMBER(M18),M18,0)+IF(ISNUMBER(M19),M19,0)+IF(ISNUMBER(M22),M22,0),0)</f>
        <v>0</v>
      </c>
      <c r="N25" s="38" t="n">
        <f aca="false">IFERROR(IF(ISNUMBER(N4),N4,0)+IF(ISNUMBER(N6),N6,0)+IF(ISNUMBER(N9),N9,0)+IF(ISNUMBER(N10),N10,0)+IF(ISNUMBER(N14),N14,0)+IF(ISNUMBER(N15),N15,0)+IF(ISNUMBER(N18),N18,0)+IF(ISNUMBER(N19),N19,0)+IF(ISNUMBER(N22),N22,0),0)</f>
        <v>0</v>
      </c>
      <c r="O25" s="38" t="n">
        <f aca="false">IFERROR(IF(ISNUMBER(O4),O4,0)+IF(ISNUMBER(O6),O6,0)+IF(ISNUMBER(O9),O9,0)+IF(ISNUMBER(O10),O10,0)+IF(ISNUMBER(O14),O14,0)+IF(ISNUMBER(O15),O15,0)+IF(ISNUMBER(O18),O18,0)+IF(ISNUMBER(O19),O19,0)+IF(ISNUMBER(O22),O22,0),0)</f>
        <v>0</v>
      </c>
      <c r="P25" s="38" t="n">
        <f aca="false">IFERROR(IF(ISNUMBER(P4),P4,0)+IF(ISNUMBER(P6),P6,0)+IF(ISNUMBER(P9),P9,0)+IF(ISNUMBER(P10),P10,0)+IF(ISNUMBER(P14),P14,0)+IF(ISNUMBER(P15),P15,0)+IF(ISNUMBER(P18),P18,0)+IF(ISNUMBER(P19),P19,0)+IF(ISNUMBER(P22),P22,0),0)</f>
        <v>0</v>
      </c>
      <c r="Q25" s="38" t="n">
        <f aca="false">IFERROR(IF(ISNUMBER(Q4),Q4,0)+IF(ISNUMBER(Q6),Q6,0)+IF(ISNUMBER(Q9),Q9,0)+IF(ISNUMBER(Q10),Q10,0)+IF(ISNUMBER(Q14),Q14,0)+IF(ISNUMBER(Q15),Q15,0)+IF(ISNUMBER(Q18),Q18,0)+IF(ISNUMBER(Q19),Q19,0)+IF(ISNUMBER(Q22),Q22,0),0)</f>
        <v>0</v>
      </c>
      <c r="R25" s="38" t="n">
        <f aca="false">IFERROR(IF(ISNUMBER(R4),R4,0)+IF(ISNUMBER(R6),R6,0)+IF(ISNUMBER(R9),R9,0)+IF(ISNUMBER(R10),R10,0)+IF(ISNUMBER(R14),R14,0)+IF(ISNUMBER(R15),R15,0)+IF(ISNUMBER(R18),R18,0)+IF(ISNUMBER(R19),R19,0)+IF(ISNUMBER(R22),R22,0),0)</f>
        <v>0</v>
      </c>
      <c r="S25" s="38" t="n">
        <f aca="false">IFERROR(IF(ISNUMBER(S4),S4,0)+IF(ISNUMBER(S6),S6,0)+IF(ISNUMBER(S9),S9,0)+IF(ISNUMBER(S10),S10,0)+IF(ISNUMBER(S14),S14,0)+IF(ISNUMBER(S15),S15,0)+IF(ISNUMBER(S18),S18,0)+IF(ISNUMBER(S19),S19,0)+IF(ISNUMBER(S22),S22,0),0)</f>
        <v>0</v>
      </c>
      <c r="T25" s="38" t="n">
        <f aca="false">IFERROR(IF(ISNUMBER(T4),T4,0)+IF(ISNUMBER(T6),T6,0)+IF(ISNUMBER(T9),T9,0)+IF(ISNUMBER(T10),T10,0)+IF(ISNUMBER(T14),T14,0)+IF(ISNUMBER(T15),T15,0)+IF(ISNUMBER(T18),T18,0)+IF(ISNUMBER(T19),T19,0)+IF(ISNUMBER(T22),T22,0),0)</f>
        <v>0</v>
      </c>
    </row>
  </sheetData>
  <mergeCells count="7">
    <mergeCell ref="B1:T1"/>
    <mergeCell ref="B3:T3"/>
    <mergeCell ref="B8:T8"/>
    <mergeCell ref="B13:T13"/>
    <mergeCell ref="B17:T17"/>
    <mergeCell ref="B21:T21"/>
    <mergeCell ref="B24:T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T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20" min="3" style="0" width="12"/>
  </cols>
  <sheetData>
    <row r="1" customFormat="false" ht="16.15" hidden="false" customHeight="false" outlineLevel="0" collapsed="false">
      <c r="B1" s="28" t="s">
        <v>211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</row>
    <row r="2" customFormat="false" ht="15.75" hidden="false" customHeight="true" outlineLevel="0" collapsed="false">
      <c r="B2" s="30" t="s">
        <v>146</v>
      </c>
      <c r="C2" s="31" t="s">
        <v>147</v>
      </c>
      <c r="D2" s="31" t="s">
        <v>148</v>
      </c>
      <c r="E2" s="31" t="s">
        <v>149</v>
      </c>
      <c r="F2" s="31" t="s">
        <v>150</v>
      </c>
      <c r="G2" s="31" t="s">
        <v>151</v>
      </c>
      <c r="H2" s="31" t="s">
        <v>152</v>
      </c>
      <c r="I2" s="31" t="s">
        <v>153</v>
      </c>
      <c r="J2" s="31" t="s">
        <v>154</v>
      </c>
      <c r="K2" s="31" t="s">
        <v>155</v>
      </c>
      <c r="L2" s="31" t="s">
        <v>156</v>
      </c>
      <c r="M2" s="31" t="s">
        <v>157</v>
      </c>
      <c r="N2" s="31" t="s">
        <v>158</v>
      </c>
      <c r="O2" s="31" t="s">
        <v>159</v>
      </c>
      <c r="P2" s="31" t="s">
        <v>160</v>
      </c>
      <c r="Q2" s="31" t="s">
        <v>161</v>
      </c>
      <c r="R2" s="31" t="s">
        <v>162</v>
      </c>
      <c r="S2" s="31" t="s">
        <v>163</v>
      </c>
      <c r="T2" s="31" t="s">
        <v>164</v>
      </c>
    </row>
    <row r="3" customFormat="false" ht="15" hidden="false" customHeight="false" outlineLevel="0" collapsed="false">
      <c r="B3" s="15" t="s">
        <v>212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</row>
    <row r="4" customFormat="false" ht="15" hidden="false" customHeight="false" outlineLevel="0" collapsed="false">
      <c r="B4" s="44" t="s">
        <v>213</v>
      </c>
      <c r="C4" s="45" t="n">
        <f aca="false">Revenue!C14</f>
        <v>0</v>
      </c>
      <c r="D4" s="45" t="n">
        <f aca="false">Revenue!D14</f>
        <v>0</v>
      </c>
      <c r="E4" s="45" t="n">
        <f aca="false">Revenue!E14</f>
        <v>0</v>
      </c>
      <c r="F4" s="45" t="n">
        <f aca="false">Revenue!F14</f>
        <v>0</v>
      </c>
      <c r="G4" s="45" t="n">
        <f aca="false">Revenue!G14</f>
        <v>423.79</v>
      </c>
      <c r="H4" s="45" t="n">
        <f aca="false">Revenue!H14</f>
        <v>1271.37</v>
      </c>
      <c r="I4" s="45" t="n">
        <f aca="false">Revenue!I14</f>
        <v>2542.74</v>
      </c>
      <c r="J4" s="45" t="n">
        <f aca="false">Revenue!J14</f>
        <v>2542.74</v>
      </c>
      <c r="K4" s="45" t="n">
        <f aca="false">Revenue!K14</f>
        <v>2542.74</v>
      </c>
      <c r="L4" s="45" t="n">
        <f aca="false">Revenue!L14</f>
        <v>2542.74</v>
      </c>
      <c r="M4" s="45" t="n">
        <f aca="false">Revenue!M14</f>
        <v>2542.74</v>
      </c>
      <c r="N4" s="45" t="n">
        <f aca="false">Revenue!N14</f>
        <v>2542.74</v>
      </c>
      <c r="O4" s="45" t="n">
        <f aca="false">Revenue!O14</f>
        <v>2542.74</v>
      </c>
      <c r="P4" s="45" t="n">
        <f aca="false">Revenue!P14</f>
        <v>2542.74</v>
      </c>
      <c r="Q4" s="45" t="n">
        <f aca="false">Revenue!Q14</f>
        <v>2542.74</v>
      </c>
      <c r="R4" s="45" t="n">
        <f aca="false">Revenue!R14</f>
        <v>2542.74</v>
      </c>
      <c r="S4" s="45" t="n">
        <f aca="false">Revenue!S14</f>
        <v>2542.74</v>
      </c>
      <c r="T4" s="45" t="n">
        <f aca="false">Revenue!T14</f>
        <v>2542.74</v>
      </c>
    </row>
    <row r="5" customFormat="false" ht="15" hidden="false" customHeight="false" outlineLevel="0" collapsed="false">
      <c r="B5" s="46" t="s">
        <v>214</v>
      </c>
      <c r="C5" s="41" t="n">
        <f aca="false">-COGS!C13</f>
        <v>-10</v>
      </c>
      <c r="D5" s="41" t="n">
        <f aca="false">-COGS!D13</f>
        <v>-10</v>
      </c>
      <c r="E5" s="41" t="n">
        <f aca="false">-COGS!E13</f>
        <v>-10</v>
      </c>
      <c r="F5" s="41" t="n">
        <f aca="false">-COGS!F13</f>
        <v>-10</v>
      </c>
      <c r="G5" s="41" t="n">
        <f aca="false">-COGS!G13</f>
        <v>-35</v>
      </c>
      <c r="H5" s="41" t="n">
        <f aca="false">-COGS!H13</f>
        <v>-35</v>
      </c>
      <c r="I5" s="41" t="n">
        <f aca="false">-COGS!I13</f>
        <v>-35</v>
      </c>
      <c r="J5" s="41" t="n">
        <f aca="false">-COGS!J13</f>
        <v>-35</v>
      </c>
      <c r="K5" s="41" t="n">
        <f aca="false">-COGS!K13</f>
        <v>-35</v>
      </c>
      <c r="L5" s="41" t="n">
        <f aca="false">-COGS!L13</f>
        <v>-35</v>
      </c>
      <c r="M5" s="41" t="n">
        <f aca="false">-COGS!M13</f>
        <v>-35</v>
      </c>
      <c r="N5" s="41" t="n">
        <f aca="false">-COGS!N13</f>
        <v>-35</v>
      </c>
      <c r="O5" s="41" t="n">
        <f aca="false">-COGS!O13</f>
        <v>-35</v>
      </c>
      <c r="P5" s="41" t="n">
        <f aca="false">-COGS!P13</f>
        <v>-35</v>
      </c>
      <c r="Q5" s="41" t="n">
        <f aca="false">-COGS!Q13</f>
        <v>-35</v>
      </c>
      <c r="R5" s="41" t="n">
        <f aca="false">-COGS!R13</f>
        <v>-35</v>
      </c>
      <c r="S5" s="41" t="n">
        <f aca="false">-COGS!S13</f>
        <v>-35</v>
      </c>
      <c r="T5" s="41" t="n">
        <f aca="false">-COGS!T13</f>
        <v>-35</v>
      </c>
    </row>
    <row r="6" customFormat="false" ht="15" hidden="false" customHeight="false" outlineLevel="0" collapsed="false">
      <c r="B6" s="16" t="s">
        <v>215</v>
      </c>
      <c r="C6" s="38" t="n">
        <f aca="false">IFERROR(C4+C5,0)</f>
        <v>-10</v>
      </c>
      <c r="D6" s="38" t="n">
        <f aca="false">IFERROR(D4+D5,0)</f>
        <v>-10</v>
      </c>
      <c r="E6" s="38" t="n">
        <f aca="false">IFERROR(E4+E5,0)</f>
        <v>-10</v>
      </c>
      <c r="F6" s="38" t="n">
        <f aca="false">IFERROR(F4+F5,0)</f>
        <v>-10</v>
      </c>
      <c r="G6" s="38" t="n">
        <f aca="false">IFERROR(G4+G5,0)</f>
        <v>388.79</v>
      </c>
      <c r="H6" s="38" t="n">
        <f aca="false">IFERROR(H4+H5,0)</f>
        <v>1236.37</v>
      </c>
      <c r="I6" s="38" t="n">
        <f aca="false">IFERROR(I4+I5,0)</f>
        <v>2507.74</v>
      </c>
      <c r="J6" s="38" t="n">
        <f aca="false">IFERROR(J4+J5,0)</f>
        <v>2507.74</v>
      </c>
      <c r="K6" s="38" t="n">
        <f aca="false">IFERROR(K4+K5,0)</f>
        <v>2507.74</v>
      </c>
      <c r="L6" s="38" t="n">
        <f aca="false">IFERROR(L4+L5,0)</f>
        <v>2507.74</v>
      </c>
      <c r="M6" s="38" t="n">
        <f aca="false">IFERROR(M4+M5,0)</f>
        <v>2507.74</v>
      </c>
      <c r="N6" s="38" t="n">
        <f aca="false">IFERROR(N4+N5,0)</f>
        <v>2507.74</v>
      </c>
      <c r="O6" s="38" t="n">
        <f aca="false">IFERROR(O4+O5,0)</f>
        <v>2507.74</v>
      </c>
      <c r="P6" s="38" t="n">
        <f aca="false">IFERROR(P4+P5,0)</f>
        <v>2507.74</v>
      </c>
      <c r="Q6" s="38" t="n">
        <f aca="false">IFERROR(Q4+Q5,0)</f>
        <v>2507.74</v>
      </c>
      <c r="R6" s="38" t="n">
        <f aca="false">IFERROR(R4+R5,0)</f>
        <v>2507.74</v>
      </c>
      <c r="S6" s="38" t="n">
        <f aca="false">IFERROR(S4+S5,0)</f>
        <v>2507.74</v>
      </c>
      <c r="T6" s="38" t="n">
        <f aca="false">IFERROR(T4+T5,0)</f>
        <v>2507.74</v>
      </c>
    </row>
    <row r="7" customFormat="false" ht="15" hidden="false" customHeight="false" outlineLevel="0" collapsed="false">
      <c r="B7" s="16" t="s">
        <v>216</v>
      </c>
      <c r="C7" s="47" t="str">
        <f aca="false">IFERROR(C6/C4,"-")</f>
        <v>-</v>
      </c>
      <c r="D7" s="47" t="str">
        <f aca="false">IFERROR(D6/D4,"-")</f>
        <v>-</v>
      </c>
      <c r="E7" s="47" t="str">
        <f aca="false">IFERROR(E6/E4,"-")</f>
        <v>-</v>
      </c>
      <c r="F7" s="47" t="str">
        <f aca="false">IFERROR(F6/F4,"-")</f>
        <v>-</v>
      </c>
      <c r="G7" s="47" t="n">
        <f aca="false">IFERROR(G6/G4,"-")</f>
        <v>0.917411925717926</v>
      </c>
      <c r="H7" s="47" t="n">
        <f aca="false">IFERROR(H6/H4,"-")</f>
        <v>0.972470641905975</v>
      </c>
      <c r="I7" s="47" t="n">
        <f aca="false">IFERROR(I6/I4,"-")</f>
        <v>0.986235320952988</v>
      </c>
      <c r="J7" s="47" t="n">
        <f aca="false">IFERROR(J6/J4,"-")</f>
        <v>0.986235320952988</v>
      </c>
      <c r="K7" s="47" t="n">
        <f aca="false">IFERROR(K6/K4,"-")</f>
        <v>0.986235320952988</v>
      </c>
      <c r="L7" s="47" t="n">
        <f aca="false">IFERROR(L6/L4,"-")</f>
        <v>0.986235320952988</v>
      </c>
      <c r="M7" s="47" t="n">
        <f aca="false">IFERROR(M6/M4,"-")</f>
        <v>0.986235320952988</v>
      </c>
      <c r="N7" s="47" t="n">
        <f aca="false">IFERROR(N6/N4,"-")</f>
        <v>0.986235320952988</v>
      </c>
      <c r="O7" s="47" t="n">
        <f aca="false">IFERROR(O6/O4,"-")</f>
        <v>0.986235320952988</v>
      </c>
      <c r="P7" s="47" t="n">
        <f aca="false">IFERROR(P6/P4,"-")</f>
        <v>0.986235320952988</v>
      </c>
      <c r="Q7" s="47" t="n">
        <f aca="false">IFERROR(Q6/Q4,"-")</f>
        <v>0.986235320952988</v>
      </c>
      <c r="R7" s="47" t="n">
        <f aca="false">IFERROR(R6/R4,"-")</f>
        <v>0.986235320952988</v>
      </c>
      <c r="S7" s="47" t="n">
        <f aca="false">IFERROR(S6/S4,"-")</f>
        <v>0.986235320952988</v>
      </c>
      <c r="T7" s="47" t="n">
        <f aca="false">IFERROR(T6/T4,"-")</f>
        <v>0.986235320952988</v>
      </c>
    </row>
    <row r="9" customFormat="false" ht="15" hidden="false" customHeight="false" outlineLevel="0" collapsed="false">
      <c r="B9" s="46" t="s">
        <v>217</v>
      </c>
      <c r="C9" s="41" t="n">
        <f aca="false">-OpEx!C25</f>
        <v>-2263</v>
      </c>
      <c r="D9" s="41" t="n">
        <f aca="false">-OpEx!D25</f>
        <v>-1688</v>
      </c>
      <c r="E9" s="41" t="n">
        <f aca="false">-OpEx!E25</f>
        <v>-1688</v>
      </c>
      <c r="F9" s="41" t="n">
        <f aca="false">-OpEx!F25</f>
        <v>-1688</v>
      </c>
      <c r="G9" s="41" t="n">
        <f aca="false">-OpEx!G25</f>
        <v>-0</v>
      </c>
      <c r="H9" s="41" t="n">
        <f aca="false">-OpEx!H25</f>
        <v>-0</v>
      </c>
      <c r="I9" s="41" t="n">
        <f aca="false">-OpEx!I25</f>
        <v>-0</v>
      </c>
      <c r="J9" s="41" t="n">
        <f aca="false">-OpEx!J25</f>
        <v>-0</v>
      </c>
      <c r="K9" s="41" t="n">
        <f aca="false">-OpEx!K25</f>
        <v>-0</v>
      </c>
      <c r="L9" s="41" t="n">
        <f aca="false">-OpEx!L25</f>
        <v>-0</v>
      </c>
      <c r="M9" s="41" t="n">
        <f aca="false">-OpEx!M25</f>
        <v>-0</v>
      </c>
      <c r="N9" s="41" t="n">
        <f aca="false">-OpEx!N25</f>
        <v>-0</v>
      </c>
      <c r="O9" s="41" t="n">
        <f aca="false">-OpEx!O25</f>
        <v>-0</v>
      </c>
      <c r="P9" s="41" t="n">
        <f aca="false">-OpEx!P25</f>
        <v>-0</v>
      </c>
      <c r="Q9" s="41" t="n">
        <f aca="false">-OpEx!Q25</f>
        <v>-0</v>
      </c>
      <c r="R9" s="41" t="n">
        <f aca="false">-OpEx!R25</f>
        <v>-0</v>
      </c>
      <c r="S9" s="41" t="n">
        <f aca="false">-OpEx!S25</f>
        <v>-0</v>
      </c>
      <c r="T9" s="41" t="n">
        <f aca="false">-OpEx!T25</f>
        <v>-0</v>
      </c>
    </row>
    <row r="10" customFormat="false" ht="15" hidden="false" customHeight="false" outlineLevel="0" collapsed="false">
      <c r="B10" s="16" t="s">
        <v>218</v>
      </c>
      <c r="C10" s="38" t="n">
        <f aca="false">IFERROR(C6+C9,0)</f>
        <v>-2273</v>
      </c>
      <c r="D10" s="38" t="n">
        <f aca="false">IFERROR(D6+D9,0)</f>
        <v>-1698</v>
      </c>
      <c r="E10" s="38" t="n">
        <f aca="false">IFERROR(E6+E9,0)</f>
        <v>-1698</v>
      </c>
      <c r="F10" s="38" t="n">
        <f aca="false">IFERROR(F6+F9,0)</f>
        <v>-1698</v>
      </c>
      <c r="G10" s="38" t="n">
        <f aca="false">IFERROR(G6+G9,0)</f>
        <v>388.79</v>
      </c>
      <c r="H10" s="38" t="n">
        <f aca="false">IFERROR(H6+H9,0)</f>
        <v>1236.37</v>
      </c>
      <c r="I10" s="38" t="n">
        <f aca="false">IFERROR(I6+I9,0)</f>
        <v>2507.74</v>
      </c>
      <c r="J10" s="38" t="n">
        <f aca="false">IFERROR(J6+J9,0)</f>
        <v>2507.74</v>
      </c>
      <c r="K10" s="38" t="n">
        <f aca="false">IFERROR(K6+K9,0)</f>
        <v>2507.74</v>
      </c>
      <c r="L10" s="38" t="n">
        <f aca="false">IFERROR(L6+L9,0)</f>
        <v>2507.74</v>
      </c>
      <c r="M10" s="38" t="n">
        <f aca="false">IFERROR(M6+M9,0)</f>
        <v>2507.74</v>
      </c>
      <c r="N10" s="38" t="n">
        <f aca="false">IFERROR(N6+N9,0)</f>
        <v>2507.74</v>
      </c>
      <c r="O10" s="38" t="n">
        <f aca="false">IFERROR(O6+O9,0)</f>
        <v>2507.74</v>
      </c>
      <c r="P10" s="38" t="n">
        <f aca="false">IFERROR(P6+P9,0)</f>
        <v>2507.74</v>
      </c>
      <c r="Q10" s="38" t="n">
        <f aca="false">IFERROR(Q6+Q9,0)</f>
        <v>2507.74</v>
      </c>
      <c r="R10" s="38" t="n">
        <f aca="false">IFERROR(R6+R9,0)</f>
        <v>2507.74</v>
      </c>
      <c r="S10" s="38" t="n">
        <f aca="false">IFERROR(S6+S9,0)</f>
        <v>2507.74</v>
      </c>
      <c r="T10" s="38" t="n">
        <f aca="false">IFERROR(T6+T9,0)</f>
        <v>2507.74</v>
      </c>
    </row>
    <row r="11" customFormat="false" ht="15" hidden="false" customHeight="false" outlineLevel="0" collapsed="false">
      <c r="B11" s="16" t="s">
        <v>219</v>
      </c>
      <c r="C11" s="37" t="n">
        <f aca="false">C10</f>
        <v>-2273</v>
      </c>
      <c r="D11" s="37" t="n">
        <f aca="false">C11+D10</f>
        <v>-3971</v>
      </c>
      <c r="E11" s="37" t="n">
        <f aca="false">D11+E10</f>
        <v>-5669</v>
      </c>
      <c r="F11" s="37" t="n">
        <f aca="false">E11+F10</f>
        <v>-7367</v>
      </c>
      <c r="G11" s="37" t="n">
        <f aca="false">F11+G10</f>
        <v>-6978.21</v>
      </c>
      <c r="H11" s="37" t="n">
        <f aca="false">G11+H10</f>
        <v>-5741.84</v>
      </c>
      <c r="I11" s="37" t="n">
        <f aca="false">H11+I10</f>
        <v>-3234.1</v>
      </c>
      <c r="J11" s="37" t="n">
        <f aca="false">I11+J10</f>
        <v>-726.360000000001</v>
      </c>
      <c r="K11" s="37" t="n">
        <f aca="false">J11+K10</f>
        <v>1781.38</v>
      </c>
      <c r="L11" s="37" t="n">
        <f aca="false">K11+L10</f>
        <v>4289.12</v>
      </c>
      <c r="M11" s="37" t="n">
        <f aca="false">L11+M10</f>
        <v>6796.86</v>
      </c>
      <c r="N11" s="37" t="n">
        <f aca="false">M11+N10</f>
        <v>9304.6</v>
      </c>
      <c r="O11" s="37" t="n">
        <f aca="false">N11+O10</f>
        <v>11812.34</v>
      </c>
      <c r="P11" s="37" t="n">
        <f aca="false">O11+P10</f>
        <v>14320.08</v>
      </c>
      <c r="Q11" s="37" t="n">
        <f aca="false">P11+Q10</f>
        <v>16827.82</v>
      </c>
      <c r="R11" s="37" t="n">
        <f aca="false">Q11+R10</f>
        <v>19335.56</v>
      </c>
      <c r="S11" s="37" t="n">
        <f aca="false">R11+S10</f>
        <v>21843.3</v>
      </c>
      <c r="T11" s="37" t="n">
        <f aca="false">S11+T10</f>
        <v>24351.04</v>
      </c>
    </row>
    <row r="13" customFormat="false" ht="15" hidden="false" customHeight="false" outlineLevel="0" collapsed="false">
      <c r="B13" s="15" t="s">
        <v>220</v>
      </c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</row>
    <row r="14" customFormat="false" ht="15" hidden="false" customHeight="false" outlineLevel="0" collapsed="false">
      <c r="B14" s="46" t="s">
        <v>221</v>
      </c>
      <c r="C14" s="33" t="n">
        <f aca="false">Revenue!C6</f>
        <v>0</v>
      </c>
      <c r="D14" s="33" t="n">
        <f aca="false">Revenue!D6</f>
        <v>0</v>
      </c>
      <c r="E14" s="33" t="n">
        <f aca="false">Revenue!E6</f>
        <v>0</v>
      </c>
      <c r="F14" s="33" t="n">
        <f aca="false">Revenue!F6</f>
        <v>0</v>
      </c>
      <c r="G14" s="33" t="n">
        <f aca="false">Revenue!G6</f>
        <v>9</v>
      </c>
      <c r="H14" s="33" t="n">
        <f aca="false">Revenue!H6</f>
        <v>27</v>
      </c>
      <c r="I14" s="33" t="n">
        <f aca="false">Revenue!I6</f>
        <v>54</v>
      </c>
      <c r="J14" s="33" t="n">
        <f aca="false">Revenue!J6</f>
        <v>54</v>
      </c>
      <c r="K14" s="33" t="n">
        <f aca="false">Revenue!K6</f>
        <v>54</v>
      </c>
      <c r="L14" s="33" t="n">
        <f aca="false">Revenue!L6</f>
        <v>54</v>
      </c>
      <c r="M14" s="33" t="n">
        <f aca="false">Revenue!M6</f>
        <v>54</v>
      </c>
      <c r="N14" s="33" t="n">
        <f aca="false">Revenue!N6</f>
        <v>54</v>
      </c>
      <c r="O14" s="33" t="n">
        <f aca="false">Revenue!O6</f>
        <v>54</v>
      </c>
      <c r="P14" s="33" t="n">
        <f aca="false">Revenue!P6</f>
        <v>54</v>
      </c>
      <c r="Q14" s="33" t="n">
        <f aca="false">Revenue!Q6</f>
        <v>54</v>
      </c>
      <c r="R14" s="33" t="n">
        <f aca="false">Revenue!R6</f>
        <v>54</v>
      </c>
      <c r="S14" s="33" t="n">
        <f aca="false">Revenue!S6</f>
        <v>54</v>
      </c>
      <c r="T14" s="33" t="n">
        <f aca="false">Revenue!T6</f>
        <v>54</v>
      </c>
    </row>
    <row r="15" customFormat="false" ht="15" hidden="false" customHeight="false" outlineLevel="0" collapsed="false">
      <c r="B15" s="46" t="s">
        <v>222</v>
      </c>
      <c r="C15" s="33" t="n">
        <f aca="false">Revenue!C9</f>
        <v>0</v>
      </c>
      <c r="D15" s="33" t="n">
        <f aca="false">Revenue!D9</f>
        <v>0</v>
      </c>
      <c r="E15" s="33" t="n">
        <f aca="false">Revenue!E9</f>
        <v>0</v>
      </c>
      <c r="F15" s="33" t="n">
        <f aca="false">Revenue!F9</f>
        <v>0</v>
      </c>
      <c r="G15" s="33" t="n">
        <f aca="false">Revenue!G9</f>
        <v>9</v>
      </c>
      <c r="H15" s="33" t="n">
        <f aca="false">Revenue!H9</f>
        <v>36</v>
      </c>
      <c r="I15" s="33" t="n">
        <f aca="false">Revenue!I9</f>
        <v>90</v>
      </c>
      <c r="J15" s="33" t="n">
        <f aca="false">Revenue!J9</f>
        <v>144</v>
      </c>
      <c r="K15" s="33" t="n">
        <f aca="false">Revenue!K9</f>
        <v>198</v>
      </c>
      <c r="L15" s="33" t="n">
        <f aca="false">Revenue!L9</f>
        <v>252</v>
      </c>
      <c r="M15" s="33" t="n">
        <f aca="false">Revenue!M9</f>
        <v>306</v>
      </c>
      <c r="N15" s="33" t="n">
        <f aca="false">Revenue!N9</f>
        <v>360</v>
      </c>
      <c r="O15" s="33" t="n">
        <f aca="false">Revenue!O9</f>
        <v>414</v>
      </c>
      <c r="P15" s="33" t="n">
        <f aca="false">Revenue!P9</f>
        <v>468</v>
      </c>
      <c r="Q15" s="33" t="n">
        <f aca="false">Revenue!Q9</f>
        <v>522</v>
      </c>
      <c r="R15" s="33" t="n">
        <f aca="false">Revenue!R9</f>
        <v>576</v>
      </c>
      <c r="S15" s="33" t="n">
        <f aca="false">Revenue!S9</f>
        <v>630</v>
      </c>
      <c r="T15" s="33" t="n">
        <f aca="false">Revenue!T9</f>
        <v>684</v>
      </c>
    </row>
  </sheetData>
  <mergeCells count="3">
    <mergeCell ref="B1:T1"/>
    <mergeCell ref="B3:T3"/>
    <mergeCell ref="B13:T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4" min="3" style="0" width="20"/>
    <col collapsed="false" customWidth="true" hidden="false" outlineLevel="0" max="5" min="5" style="0" width="45"/>
  </cols>
  <sheetData>
    <row r="1" customFormat="false" ht="16.15" hidden="false" customHeight="false" outlineLevel="0" collapsed="false">
      <c r="B1" s="28" t="s">
        <v>223</v>
      </c>
      <c r="C1" s="28"/>
      <c r="D1" s="28"/>
      <c r="E1" s="28"/>
    </row>
    <row r="2" customFormat="false" ht="15" hidden="false" customHeight="false" outlineLevel="0" collapsed="false">
      <c r="C2" s="48" t="s">
        <v>224</v>
      </c>
      <c r="D2" s="48" t="s">
        <v>225</v>
      </c>
      <c r="E2" s="48" t="s">
        <v>226</v>
      </c>
    </row>
    <row r="4" customFormat="false" ht="15" hidden="false" customHeight="false" outlineLevel="0" collapsed="false">
      <c r="B4" s="15" t="s">
        <v>227</v>
      </c>
      <c r="C4" s="15"/>
      <c r="D4" s="15"/>
      <c r="E4" s="15"/>
    </row>
    <row r="5" customFormat="false" ht="15" hidden="false" customHeight="false" outlineLevel="0" collapsed="false">
      <c r="B5" s="7" t="s">
        <v>228</v>
      </c>
      <c r="C5" s="49" t="n">
        <f aca="false">Assumptions!$C$4</f>
        <v>49</v>
      </c>
      <c r="E5" s="50" t="s">
        <v>229</v>
      </c>
    </row>
    <row r="6" customFormat="false" ht="15" hidden="false" customHeight="false" outlineLevel="0" collapsed="false">
      <c r="B6" s="7" t="s">
        <v>230</v>
      </c>
      <c r="C6" s="51" t="n">
        <f aca="false">(Assumptions!$C$4*Assumptions!$C$10)+Assumptions!$C$11</f>
        <v>1.721</v>
      </c>
      <c r="E6" s="50" t="s">
        <v>231</v>
      </c>
    </row>
    <row r="7" customFormat="false" ht="15" hidden="false" customHeight="false" outlineLevel="0" collapsed="false">
      <c r="B7" s="16" t="s">
        <v>232</v>
      </c>
      <c r="C7" s="52" t="n">
        <f aca="false">Assumptions!$C$4-(Assumptions!$C$4*Assumptions!$C$10+Assumptions!$C$11)</f>
        <v>47.279</v>
      </c>
      <c r="E7" s="50" t="s">
        <v>233</v>
      </c>
    </row>
    <row r="9" customFormat="false" ht="15" hidden="false" customHeight="false" outlineLevel="0" collapsed="false">
      <c r="B9" s="15" t="s">
        <v>234</v>
      </c>
      <c r="C9" s="15"/>
      <c r="D9" s="15"/>
      <c r="E9" s="15"/>
    </row>
    <row r="10" customFormat="false" ht="15" hidden="false" customHeight="false" outlineLevel="0" collapsed="false">
      <c r="B10" s="7" t="s">
        <v>235</v>
      </c>
      <c r="C10" s="53" t="n">
        <f aca="false">IFERROR((Assumptions!$C$30*Assumptions!$C$31*4/6)*((Assumptions!$C$34/1000*Assumptions!$C$32)+(Assumptions!$C$35/1000*Assumptions!$C$33)+(Assumptions!$C$37/1000000*Assumptions!$C$36)),"Fill FAQ query inputs")</f>
        <v>0</v>
      </c>
      <c r="E10" s="50" t="s">
        <v>236</v>
      </c>
    </row>
    <row r="12" customFormat="false" ht="15" hidden="false" customHeight="false" outlineLevel="0" collapsed="false">
      <c r="B12" s="15" t="s">
        <v>237</v>
      </c>
      <c r="C12" s="15"/>
      <c r="D12" s="15"/>
      <c r="E12" s="15"/>
    </row>
    <row r="13" customFormat="false" ht="15" hidden="false" customHeight="false" outlineLevel="0" collapsed="false">
      <c r="B13" s="16" t="s">
        <v>238</v>
      </c>
      <c r="C13" s="52" t="n">
        <f aca="false">IFERROR(C7-C10,"Fill inputs")</f>
        <v>47.279</v>
      </c>
    </row>
    <row r="14" customFormat="false" ht="15" hidden="false" customHeight="false" outlineLevel="0" collapsed="false">
      <c r="B14" s="7" t="s">
        <v>239</v>
      </c>
      <c r="C14" s="54" t="n">
        <f aca="false">IFERROR(C13/C7,"-")</f>
        <v>1</v>
      </c>
    </row>
    <row r="16" customFormat="false" ht="15" hidden="false" customHeight="false" outlineLevel="0" collapsed="false">
      <c r="B16" s="15" t="s">
        <v>240</v>
      </c>
      <c r="C16" s="15"/>
      <c r="D16" s="15"/>
      <c r="E16" s="15"/>
    </row>
    <row r="17" customFormat="false" ht="15" hidden="false" customHeight="false" outlineLevel="0" collapsed="false">
      <c r="B17" s="7" t="s">
        <v>241</v>
      </c>
      <c r="C17" s="49" t="n">
        <f aca="false">Assumptions!$C$14</f>
        <v>30</v>
      </c>
      <c r="E17" s="50" t="s">
        <v>242</v>
      </c>
    </row>
    <row r="18" customFormat="false" ht="15" hidden="false" customHeight="false" outlineLevel="0" collapsed="false">
      <c r="B18" s="7" t="s">
        <v>243</v>
      </c>
      <c r="C18" s="55" t="n">
        <f aca="false">IFERROR(Assumptions!$C$15,"?")</f>
        <v>0</v>
      </c>
      <c r="E18" s="50" t="s">
        <v>244</v>
      </c>
    </row>
    <row r="19" customFormat="false" ht="22.35" hidden="false" customHeight="false" outlineLevel="0" collapsed="false">
      <c r="B19" s="7" t="s">
        <v>48</v>
      </c>
      <c r="C19" s="55" t="n">
        <f aca="false">IFERROR(Assumptions!$C$16,"?")</f>
        <v>0</v>
      </c>
      <c r="E19" s="50" t="s">
        <v>245</v>
      </c>
    </row>
    <row r="20" customFormat="false" ht="15" hidden="false" customHeight="false" outlineLevel="0" collapsed="false">
      <c r="B20" s="16" t="s">
        <v>246</v>
      </c>
      <c r="C20" s="56" t="n">
        <f aca="false">IFERROR(Assumptions!$C$7*C19+(1-Assumptions!$C$7)*C17,"?")</f>
        <v>18</v>
      </c>
      <c r="E20" s="50" t="s">
        <v>247</v>
      </c>
    </row>
    <row r="22" customFormat="false" ht="15" hidden="false" customHeight="false" outlineLevel="0" collapsed="false">
      <c r="B22" s="15" t="s">
        <v>248</v>
      </c>
      <c r="C22" s="15"/>
      <c r="D22" s="15"/>
      <c r="E22" s="15"/>
    </row>
    <row r="23" customFormat="false" ht="22.35" hidden="false" customHeight="false" outlineLevel="0" collapsed="false">
      <c r="B23" s="7" t="s">
        <v>249</v>
      </c>
      <c r="C23" s="57" t="n">
        <f aca="false">C7</f>
        <v>47.279</v>
      </c>
      <c r="E23" s="50" t="s">
        <v>250</v>
      </c>
    </row>
    <row r="24" customFormat="false" ht="15" hidden="false" customHeight="false" outlineLevel="0" collapsed="false">
      <c r="B24" s="16" t="s">
        <v>251</v>
      </c>
      <c r="C24" s="58" t="n">
        <f aca="false">IFERROR(C23/C17,"-")</f>
        <v>1.57596666666667</v>
      </c>
      <c r="E24" s="50" t="s">
        <v>252</v>
      </c>
    </row>
    <row r="25" customFormat="false" ht="22.35" hidden="false" customHeight="false" outlineLevel="0" collapsed="false">
      <c r="B25" s="7" t="s">
        <v>253</v>
      </c>
      <c r="C25" s="59" t="n">
        <f aca="false">IFERROR(C17/C7,"-")</f>
        <v>0.634531187207851</v>
      </c>
      <c r="E25" s="50" t="s">
        <v>254</v>
      </c>
    </row>
  </sheetData>
  <mergeCells count="6">
    <mergeCell ref="B1:E1"/>
    <mergeCell ref="B4:E4"/>
    <mergeCell ref="B9:E9"/>
    <mergeCell ref="B12:E12"/>
    <mergeCell ref="B16:E16"/>
    <mergeCell ref="B22:E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45"/>
    <col collapsed="false" customWidth="true" hidden="false" outlineLevel="0" max="4" min="4" style="0" width="20"/>
    <col collapsed="false" customWidth="true" hidden="false" outlineLevel="0" max="5" min="5" style="0" width="22"/>
    <col collapsed="false" customWidth="true" hidden="false" outlineLevel="0" max="6" min="6" style="0" width="55"/>
  </cols>
  <sheetData>
    <row r="1" customFormat="false" ht="16.15" hidden="false" customHeight="false" outlineLevel="0" collapsed="false">
      <c r="B1" s="28" t="s">
        <v>255</v>
      </c>
      <c r="C1" s="28"/>
      <c r="D1" s="28"/>
      <c r="E1" s="28"/>
      <c r="F1" s="28"/>
    </row>
    <row r="2" customFormat="false" ht="15" hidden="false" customHeight="false" outlineLevel="0" collapsed="false">
      <c r="B2" s="60" t="s">
        <v>256</v>
      </c>
      <c r="C2" s="61" t="s">
        <v>257</v>
      </c>
      <c r="D2" s="61" t="s">
        <v>258</v>
      </c>
      <c r="E2" s="61" t="s">
        <v>259</v>
      </c>
      <c r="F2" s="61" t="s">
        <v>260</v>
      </c>
    </row>
    <row r="3" customFormat="false" ht="31.5" hidden="false" customHeight="true" outlineLevel="0" collapsed="false">
      <c r="B3" s="62" t="n">
        <v>1</v>
      </c>
      <c r="C3" s="63" t="s">
        <v>261</v>
      </c>
      <c r="D3" s="64" t="s">
        <v>262</v>
      </c>
      <c r="E3" s="13" t="s">
        <v>263</v>
      </c>
      <c r="F3" s="65" t="s">
        <v>264</v>
      </c>
    </row>
    <row r="4" customFormat="false" ht="31.5" hidden="false" customHeight="true" outlineLevel="0" collapsed="false">
      <c r="B4" s="62" t="n">
        <v>2</v>
      </c>
      <c r="C4" s="63" t="s">
        <v>265</v>
      </c>
      <c r="D4" s="64" t="s">
        <v>266</v>
      </c>
      <c r="E4" s="13" t="s">
        <v>267</v>
      </c>
      <c r="F4" s="65" t="s">
        <v>268</v>
      </c>
    </row>
    <row r="5" customFormat="false" ht="31.5" hidden="false" customHeight="true" outlineLevel="0" collapsed="false">
      <c r="B5" s="62" t="n">
        <v>3</v>
      </c>
      <c r="C5" s="63" t="s">
        <v>69</v>
      </c>
      <c r="D5" s="64" t="s">
        <v>269</v>
      </c>
      <c r="E5" s="13" t="s">
        <v>270</v>
      </c>
      <c r="F5" s="65" t="s">
        <v>271</v>
      </c>
    </row>
    <row r="6" customFormat="false" ht="31.5" hidden="false" customHeight="true" outlineLevel="0" collapsed="false">
      <c r="B6" s="62" t="n">
        <v>4</v>
      </c>
      <c r="C6" s="63" t="s">
        <v>272</v>
      </c>
      <c r="D6" s="64" t="s">
        <v>273</v>
      </c>
      <c r="E6" s="13" t="s">
        <v>274</v>
      </c>
      <c r="F6" s="65" t="s">
        <v>275</v>
      </c>
    </row>
    <row r="7" customFormat="false" ht="31.5" hidden="false" customHeight="true" outlineLevel="0" collapsed="false">
      <c r="B7" s="62" t="n">
        <v>5</v>
      </c>
      <c r="C7" s="63" t="s">
        <v>276</v>
      </c>
      <c r="D7" s="64" t="s">
        <v>277</v>
      </c>
      <c r="E7" s="13" t="s">
        <v>278</v>
      </c>
      <c r="F7" s="65" t="s">
        <v>279</v>
      </c>
    </row>
    <row r="8" customFormat="false" ht="31.5" hidden="false" customHeight="true" outlineLevel="0" collapsed="false">
      <c r="B8" s="66" t="n">
        <v>6</v>
      </c>
      <c r="C8" s="67" t="s">
        <v>140</v>
      </c>
      <c r="D8" s="64" t="s">
        <v>280</v>
      </c>
      <c r="E8" s="13" t="s">
        <v>281</v>
      </c>
      <c r="F8" s="65" t="s">
        <v>282</v>
      </c>
    </row>
    <row r="9" customFormat="false" ht="31.5" hidden="false" customHeight="true" outlineLevel="0" collapsed="false">
      <c r="B9" s="66" t="n">
        <v>7</v>
      </c>
      <c r="C9" s="67" t="s">
        <v>283</v>
      </c>
      <c r="D9" s="64" t="s">
        <v>284</v>
      </c>
      <c r="E9" s="13" t="s">
        <v>263</v>
      </c>
      <c r="F9" s="65" t="s">
        <v>285</v>
      </c>
    </row>
    <row r="10" customFormat="false" ht="31.5" hidden="false" customHeight="true" outlineLevel="0" collapsed="false">
      <c r="B10" s="66" t="n">
        <v>8</v>
      </c>
      <c r="C10" s="67" t="s">
        <v>286</v>
      </c>
      <c r="D10" s="64" t="s">
        <v>287</v>
      </c>
      <c r="E10" s="13" t="s">
        <v>278</v>
      </c>
      <c r="F10" s="65" t="s">
        <v>288</v>
      </c>
    </row>
    <row r="11" customFormat="false" ht="31.5" hidden="false" customHeight="true" outlineLevel="0" collapsed="false">
      <c r="B11" s="66" t="n">
        <v>9</v>
      </c>
      <c r="C11" s="67" t="s">
        <v>289</v>
      </c>
      <c r="D11" s="64" t="s">
        <v>290</v>
      </c>
      <c r="E11" s="13" t="s">
        <v>278</v>
      </c>
      <c r="F11" s="65" t="s">
        <v>291</v>
      </c>
    </row>
    <row r="12" customFormat="false" ht="31.5" hidden="false" customHeight="true" outlineLevel="0" collapsed="false">
      <c r="B12" s="66" t="n">
        <v>10</v>
      </c>
      <c r="C12" s="67" t="s">
        <v>292</v>
      </c>
      <c r="D12" s="64" t="s">
        <v>290</v>
      </c>
      <c r="E12" s="13" t="s">
        <v>278</v>
      </c>
      <c r="F12" s="65" t="s">
        <v>293</v>
      </c>
    </row>
    <row r="13" customFormat="false" ht="31.5" hidden="false" customHeight="true" outlineLevel="0" collapsed="false">
      <c r="B13" s="66" t="n">
        <v>11</v>
      </c>
      <c r="C13" s="67" t="s">
        <v>294</v>
      </c>
      <c r="D13" s="64" t="s">
        <v>295</v>
      </c>
      <c r="E13" s="13" t="s">
        <v>296</v>
      </c>
      <c r="F13" s="65" t="s">
        <v>297</v>
      </c>
    </row>
    <row r="14" customFormat="false" ht="31.5" hidden="false" customHeight="true" outlineLevel="0" collapsed="false">
      <c r="B14" s="66" t="n">
        <v>12</v>
      </c>
      <c r="C14" s="67" t="s">
        <v>52</v>
      </c>
      <c r="D14" s="64" t="s">
        <v>298</v>
      </c>
      <c r="E14" s="13" t="s">
        <v>299</v>
      </c>
      <c r="F14" s="65" t="s">
        <v>300</v>
      </c>
    </row>
    <row r="15" customFormat="false" ht="31.5" hidden="false" customHeight="true" outlineLevel="0" collapsed="false">
      <c r="B15" s="66" t="n">
        <v>13</v>
      </c>
      <c r="C15" s="67" t="s">
        <v>301</v>
      </c>
      <c r="D15" s="64" t="s">
        <v>302</v>
      </c>
      <c r="E15" s="13" t="s">
        <v>303</v>
      </c>
      <c r="F15" s="65" t="s">
        <v>304</v>
      </c>
    </row>
    <row r="16" customFormat="false" ht="31.5" hidden="false" customHeight="true" outlineLevel="0" collapsed="false">
      <c r="B16" s="66" t="n">
        <v>14</v>
      </c>
      <c r="C16" s="67" t="s">
        <v>305</v>
      </c>
      <c r="D16" s="64" t="s">
        <v>306</v>
      </c>
      <c r="E16" s="13" t="s">
        <v>278</v>
      </c>
      <c r="F16" s="65" t="s">
        <v>307</v>
      </c>
    </row>
    <row r="17" customFormat="false" ht="31.5" hidden="false" customHeight="true" outlineLevel="0" collapsed="false">
      <c r="B17" s="66" t="n">
        <v>15</v>
      </c>
      <c r="C17" s="67" t="s">
        <v>308</v>
      </c>
      <c r="D17" s="64" t="s">
        <v>280</v>
      </c>
      <c r="E17" s="13" t="s">
        <v>281</v>
      </c>
      <c r="F17" s="65" t="s">
        <v>309</v>
      </c>
    </row>
    <row r="18" customFormat="false" ht="31.5" hidden="false" customHeight="true" outlineLevel="0" collapsed="false">
      <c r="B18" s="66" t="n">
        <v>16</v>
      </c>
      <c r="C18" s="67" t="s">
        <v>310</v>
      </c>
      <c r="D18" s="64" t="s">
        <v>295</v>
      </c>
      <c r="E18" s="13" t="s">
        <v>311</v>
      </c>
      <c r="F18" s="65" t="s">
        <v>312</v>
      </c>
    </row>
    <row r="19" customFormat="false" ht="31.5" hidden="false" customHeight="true" outlineLevel="0" collapsed="false">
      <c r="B19" s="66" t="n">
        <v>17</v>
      </c>
      <c r="C19" s="67" t="s">
        <v>313</v>
      </c>
      <c r="D19" s="64" t="s">
        <v>314</v>
      </c>
      <c r="E19" s="13" t="s">
        <v>303</v>
      </c>
      <c r="F19" s="65" t="s">
        <v>315</v>
      </c>
    </row>
  </sheetData>
  <mergeCells count="1">
    <mergeCell ref="B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2026-06-02T17:57:37Z</dcterms:created>
  <dc:creator>openpyxl</dc:creator>
  <dc:description/>
  <dc:language>en-US</dc:language>
  <cp:lastModifiedBy/>
  <dcterms:modified xsi:type="dcterms:W3CDTF">2026-06-02T17:57:37Z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