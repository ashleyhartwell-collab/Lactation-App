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 Register" sheetId="2" state="visible" r:id="rId4"/>
    <sheet name="Assumptions" sheetId="3" state="visible" r:id="rId5"/>
    <sheet name="Journey Map" sheetId="4" state="visible" r:id="rId6"/>
    <sheet name="GrowthEngine" sheetId="5" state="visible" r:id="rId7"/>
    <sheet name="Revenue" sheetId="6" state="visible" r:id="rId8"/>
    <sheet name="COGS" sheetId="7" state="visible" r:id="rId9"/>
    <sheet name="OpEx" sheetId="8" state="visible" r:id="rId10"/>
    <sheet name="P&amp;L" sheetId="9" state="visible" r:id="rId11"/>
    <sheet name="Scenarios" sheetId="10" state="visible" r:id="rId12"/>
    <sheet name="TAM" sheetId="11" state="visible" r:id="rId13"/>
    <sheet name="Payer Model" sheetId="12" state="visible" r:id="rId14"/>
    <sheet name="Unit Economics" sheetId="13" state="visible" r:id="rId15"/>
    <sheet name="Missing Inputs" sheetId="14" state="visible" r:id="rId16"/>
    <sheet name="Change Log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CONFIDENCE: Benchmarked
IMPACT IF WRONG: HIGH
SOURCE: PRD v0.9; competitor scan (LactApp, Nest)
RATIONALE: $49 one-time. NOTE: priced for 6-wk scope; 12-mo milk→solids scope may justify $69–99 (see Unit Economics price sensitivity).
STATUS: Needs WTP testing</t>
        </r>
      </text>
    </comment>
    <comment ref="C14" authorId="0">
      <text>
        <r>
          <rPr>
            <sz val="10"/>
            <rFont val="Arial"/>
            <family val="2"/>
          </rPr>
          <t xml:space="preserve">CONFIDENCE: Benchmarked
IMPACT IF WRONG: HIGH
SOURCE: PRD v0.9; Meta/IG CPA benchmarks
RATIONALE: $30 blended B2C CAC target. At $49 price this yields only 1.41x LTV:CAC — structurally thin.
STATUS: Needs live test</t>
        </r>
      </text>
    </comment>
    <comment ref="C16" authorId="0">
      <text>
        <r>
          <rPr>
            <sz val="10"/>
            <rFont val="Arial"/>
            <family val="2"/>
          </rPr>
          <t xml:space="preserve">CONFIDENCE: Estimated
IMPACT IF WRONG: HIGH
SOURCE: Referral partner economics
RATIONALE: $10 B2B2C CAC — warm referral is far cheaper than paid. Drives the 4.24x LTV:CAC that justifies the referral strategy.
STATUS: Needs live test</t>
        </r>
      </text>
    </comment>
    <comment ref="C18" authorId="0">
      <text>
        <r>
          <rPr>
            <sz val="10"/>
            <rFont val="Arial"/>
            <family val="2"/>
          </rPr>
          <t xml:space="preserve">CONFIDENCE: Placeholder
IMPACT IF WRONG: HIGH
SOURCE: Founder estimate
RATIONALE: 3 referrals per IBCLC per month. UNVALIDATED — core driver of the entire growth engine.
STATUS: MUST VALIDATE</t>
        </r>
      </text>
    </comment>
    <comment ref="C31" authorId="0">
      <text>
        <r>
          <rPr>
            <sz val="10"/>
            <rFont val="Arial"/>
            <family val="2"/>
          </rPr>
          <t xml:space="preserve">CONFIDENCE: Estimated (peak TIMING is CDC-Sourced)
IMPACT IF WRONG: LOW
SOURCE: CDC NIS-Child 2022 cohort; see Journey Map tab
RATIONALE: 32 active weeks = sum of four evidence-based engagement peaks across a 15-month journey. Weeks between peaks are dormant.
STATUS: Validate in beta</t>
        </r>
      </text>
    </comment>
    <comment ref="C74" authorId="0">
      <text>
        <r>
          <rPr>
            <sz val="10"/>
            <rFont val="Arial"/>
            <family val="2"/>
          </rPr>
          <t xml:space="preserve">CONFIDENCE: Estimated
IMPACT IF WRONG: HIGH
SOURCE: Founder decision — bootstrap
RATIONALE: $0 founder salary. Model EXCLUDES founder opportunity cost. A reader should know profitability is pre-founder-comp.
STATUS: Deliberate</t>
        </r>
      </text>
    </comment>
    <comment ref="C79" authorId="0">
      <text>
        <r>
          <rPr>
            <sz val="10"/>
            <rFont val="Arial"/>
            <family val="2"/>
          </rPr>
          <t xml:space="preserve">CONFIDENCE: Placeholder
IMPACT IF WRONG: HIGH
SOURCE: Founder estimate
RATIONALE: 5 new IBCLC partners/month. THE core growth lever — scenario-varied 3/5/8. Everything keys off this.
STATUS: MUST VALIDATE</t>
        </r>
      </text>
    </comment>
    <comment ref="C81" authorId="0">
      <text>
        <r>
          <rPr>
            <sz val="10"/>
            <rFont val="Arial"/>
            <family val="2"/>
          </rPr>
          <t xml:space="preserve">CONFIDENCE: Placeholder
IMPACT IF WRONG: HIGH
SOURCE: Founder estimate
RATIONALE: 50% referral→paid conversion. Warm referral from a trusted IBCLC should convert well, but UNPROVEN.
STATUS: MUST VALIDATE</t>
        </r>
      </text>
    </comment>
  </commentList>
</comments>
</file>

<file path=xl/sharedStrings.xml><?xml version="1.0" encoding="utf-8"?>
<sst xmlns="http://schemas.openxmlformats.org/spreadsheetml/2006/main" count="1005" uniqueCount="754">
  <si>
    <t xml:space="preserve">LATCHED</t>
  </si>
  <si>
    <t xml:space="preserve">Financial Model — v1.0</t>
  </si>
  <si>
    <t xml:space="preserve">Last Updated: June 2026</t>
  </si>
  <si>
    <t xml:space="preserve">Lactation Support App · Early Stage · Confidential</t>
  </si>
  <si>
    <t xml:space="preserve">NAVIGATION</t>
  </si>
  <si>
    <t xml:space="preserve">→  Assumptions</t>
  </si>
  <si>
    <t xml:space="preserve">All hardcoded inputs — edit here first</t>
  </si>
  <si>
    <t xml:space="preserve">→  Revenue</t>
  </si>
  <si>
    <t xml:space="preserve">Monthly revenue build, 18-month horizon</t>
  </si>
  <si>
    <t xml:space="preserve">→  COGS</t>
  </si>
  <si>
    <t xml:space="preserve">Variable cost per user (Stripe, LLM, infra)</t>
  </si>
  <si>
    <t xml:space="preserve">→  OpEx</t>
  </si>
  <si>
    <t xml:space="preserve">Fixed &amp; semi-fixed monthly operating expenses</t>
  </si>
  <si>
    <t xml:space="preserve">→  P&amp;L</t>
  </si>
  <si>
    <t xml:space="preserve">Monthly P&amp;L summary</t>
  </si>
  <si>
    <t xml:space="preserve">→  Unit Economics</t>
  </si>
  <si>
    <t xml:space="preserve">LTV · CAC · Payback · Gross Margin</t>
  </si>
  <si>
    <t xml:space="preserve">→  Missing Inputs</t>
  </si>
  <si>
    <t xml:space="preserve">Priority list of figures Ashley must gather</t>
  </si>
  <si>
    <t xml:space="preserve">COLOR KEY</t>
  </si>
  <si>
    <t xml:space="preserve">Blue text    = Hardcoded input (change for scenarios)</t>
  </si>
  <si>
    <t xml:space="preserve">Black text   = Formula / calculated value</t>
  </si>
  <si>
    <t xml:space="preserve">Green text   = Link from another sheet</t>
  </si>
  <si>
    <t xml:space="preserve">Red text     = External link / source</t>
  </si>
  <si>
    <t xml:space="preserve">Yellow bg    = Placeholder — figure needed</t>
  </si>
  <si>
    <t xml:space="preserve">HOW TO READ THIS MODEL</t>
  </si>
  <si>
    <t xml:space="preserve">Start with the Assumption Register tab. It lists every judgment call, its source, and how much to trust it.</t>
  </si>
  <si>
    <t xml:space="preserve">1. SCOPE</t>
  </si>
  <si>
    <t xml:space="preserve">Latched covers a 15-MONTH infant feeding journey with four evidence-based engagement peaks (see Journey Map tab):</t>
  </si>
  <si>
    <t xml:space="preserve">  1) Milk establishment (wks 0-8)  2) Return to work (M3-4)  3) Solids introduction (M5-7)  4) Weaning (M12-15)</t>
  </si>
  <si>
    <t xml:space="preserve">2. TWO SEPARATE BUSINESS MODELS — DO NOT MIX THEM</t>
  </si>
  <si>
    <t xml:space="preserve">  (a) B2C + IBCLC referral  — Assumptions, GrowthEngine, Revenue, COGS, OpEx, P&amp;L, Scenarios. Consumer pays $49.</t>
  </si>
  <si>
    <t xml:space="preserve">  (b) Payer / sponsored     — the 'Payer Model' tab. SELF-CONTAINED. An employer or health plan pays; consumer pays $0-25.</t>
  </si>
  <si>
    <t xml:space="preserve">  The Payer tab reads FROM the main model but writes back to nothing. Changing it cannot corrupt (a).</t>
  </si>
  <si>
    <t xml:space="preserve">3. WHAT DRIVES GROWTH</t>
  </si>
  <si>
    <t xml:space="preserve">Signups are NOT an abstract growth rate. They are derived:</t>
  </si>
  <si>
    <t xml:space="preserve">  B2B2C = active IBCLC partners x referrals per partner x referral-to-paid conversion</t>
  </si>
  <si>
    <t xml:space="preserve">  B2C   = monthly marketing spend / B2C CAC</t>
  </si>
  <si>
    <t xml:space="preserve">The single biggest lever is Assumptions!C79 — new IBCLC partners onboarded per month. Scenarios flex it 3 / 5 / 8.</t>
  </si>
  <si>
    <t xml:space="preserve">4. COLOUR LEGEND</t>
  </si>
  <si>
    <t xml:space="preserve">  BLUE text</t>
  </si>
  <si>
    <t xml:space="preserve">means: an input you can change</t>
  </si>
  <si>
    <t xml:space="preserve">  BLACK text</t>
  </si>
  <si>
    <t xml:space="preserve">means: a calculated formula. Do not overwrite.</t>
  </si>
  <si>
    <t xml:space="preserve">  YELLOW fill</t>
  </si>
  <si>
    <t xml:space="preserve">means: a key lever worth stress-testing</t>
  </si>
  <si>
    <t xml:space="preserve">  Hover a cell</t>
  </si>
  <si>
    <t xml:space="preserve">means: high-impact inputs carry a pop-up comment with source and rationale</t>
  </si>
  <si>
    <t xml:space="preserve">5. THE HONEST CAVEATS</t>
  </si>
  <si>
    <t xml:space="preserve">  - Founder salary is $0. Profitability here is PRE-founder-compensation.</t>
  </si>
  <si>
    <t xml:space="preserve">  - Six inputs are PLACEHOLDERS (see Register): willingness-to-pay, referral conversion, partners/month,</t>
  </si>
  <si>
    <t xml:space="preserve">    referrals per partner, sponsor engagement, contract renewal. These carry most of the risk.</t>
  </si>
  <si>
    <t xml:space="preserve">  - Market size is not the constraint. Every scenario captures &lt;0.3% of the served market (see TAM).</t>
  </si>
  <si>
    <t xml:space="preserve">    The binding constraint is ACQUISITION, which is why the model is built around the referral channel.</t>
  </si>
  <si>
    <t xml:space="preserve">6. TAB ORDER</t>
  </si>
  <si>
    <t xml:space="preserve">Assumption Register -&gt; Assumptions -&gt; GrowthEngine -&gt; Revenue -&gt; COGS -&gt; OpEx -&gt; P&amp;L -&gt; Scenarios -&gt; TAM -&gt; Payer Model -&gt; Unit Economics -&gt; Missing Inputs -&gt; Change Log</t>
  </si>
  <si>
    <t xml:space="preserve">ASSUMPTION REGISTER — AUDIT TRAIL</t>
  </si>
  <si>
    <t xml:space="preserve">Every judgment call in this model, with source and confidence. Values are LIVE-LINKED to the model — they cannot drift out of sync.</t>
  </si>
  <si>
    <t xml:space="preserve">READ FIRST: sort by Confidence. PLACEHOLDER = a guess carrying real risk. SOURCED = hard data.</t>
  </si>
  <si>
    <t xml:space="preserve">ID</t>
  </si>
  <si>
    <t xml:space="preserve">Cell</t>
  </si>
  <si>
    <t xml:space="preserve">Assumption</t>
  </si>
  <si>
    <t xml:space="preserve">Value (live)</t>
  </si>
  <si>
    <t xml:space="preserve">Confidence</t>
  </si>
  <si>
    <t xml:space="preserve">Impact if wrong</t>
  </si>
  <si>
    <t xml:space="preserve">Source</t>
  </si>
  <si>
    <t xml:space="preserve">Rationale / why this number</t>
  </si>
  <si>
    <t xml:space="preserve">Validation status</t>
  </si>
  <si>
    <t xml:space="preserve">A-01</t>
  </si>
  <si>
    <t xml:space="preserve">Assumptions!C4</t>
  </si>
  <si>
    <t xml:space="preserve">One-time app price</t>
  </si>
  <si>
    <t xml:space="preserve">Benchmarked</t>
  </si>
  <si>
    <t xml:space="preserve">HIGH</t>
  </si>
  <si>
    <t xml:space="preserve">PRD v0.9; competitor scan</t>
  </si>
  <si>
    <t xml:space="preserve">$49. Priced for the original 6-week scope. The 12-month milk-to-solids scope likely supports $69-99 — see Unit Economics price sensitivity.</t>
  </si>
  <si>
    <t xml:space="preserve">Needs WTP test</t>
  </si>
  <si>
    <t xml:space="preserve">A-02</t>
  </si>
  <si>
    <t xml:space="preserve">Assumptions!C6</t>
  </si>
  <si>
    <t xml:space="preserve">Refund rate</t>
  </si>
  <si>
    <t xml:space="preserve">MED</t>
  </si>
  <si>
    <t xml:space="preserve">PRD v0.9 (target &lt;10%)</t>
  </si>
  <si>
    <t xml:space="preserve">10% used as a conservative ceiling rather than the target.</t>
  </si>
  <si>
    <t xml:space="preserve">Validate post-launch</t>
  </si>
  <si>
    <t xml:space="preserve">A-03</t>
  </si>
  <si>
    <t xml:space="preserve">Assumptions!C10</t>
  </si>
  <si>
    <t xml:space="preserve">Stripe % fee</t>
  </si>
  <si>
    <t xml:space="preserve">Sourced</t>
  </si>
  <si>
    <t xml:space="preserve">LOW</t>
  </si>
  <si>
    <t xml:space="preserve">Stripe published pricing</t>
  </si>
  <si>
    <t xml:space="preserve">2.9% standard US card rate.</t>
  </si>
  <si>
    <t xml:space="preserve">Validated</t>
  </si>
  <si>
    <t xml:space="preserve">A-04</t>
  </si>
  <si>
    <t xml:space="preserve">Assumptions!C14</t>
  </si>
  <si>
    <t xml:space="preserve">B2C CAC</t>
  </si>
  <si>
    <t xml:space="preserve">PRD v0.9; Meta/IG CPA benchmarks</t>
  </si>
  <si>
    <t xml:space="preserve">$30. At $49 this yields only 1.41x LTV:CAC — the paid B2C channel is structurally thin. This finding drove the pivot to referral.</t>
  </si>
  <si>
    <t xml:space="preserve">Needs live test</t>
  </si>
  <si>
    <t xml:space="preserve">A-05</t>
  </si>
  <si>
    <t xml:space="preserve">Assumptions!C16</t>
  </si>
  <si>
    <t xml:space="preserve">B2B2C CAC</t>
  </si>
  <si>
    <t xml:space="preserve">Estimated</t>
  </si>
  <si>
    <t xml:space="preserve">Referral partner economics</t>
  </si>
  <si>
    <t xml:space="preserve">$10. Warm referral is ~3x cheaper than paid, producing 4.24x LTV:CAC. This is why the growth engine is referral-based.</t>
  </si>
  <si>
    <t xml:space="preserve">A-06</t>
  </si>
  <si>
    <t xml:space="preserve">Assumptions!C18</t>
  </si>
  <si>
    <t xml:space="preserve">Referrals per IBCLC / month</t>
  </si>
  <si>
    <t xml:space="preserve">Placeholder</t>
  </si>
  <si>
    <t xml:space="preserve">Founder estimate</t>
  </si>
  <si>
    <t xml:space="preserve">3/month. UNVALIDATED and a core driver of all B2B2C volume.</t>
  </si>
  <si>
    <t xml:space="preserve">MUST VALIDATE</t>
  </si>
  <si>
    <t xml:space="preserve">A-07</t>
  </si>
  <si>
    <t xml:space="preserve">Assumptions!C79</t>
  </si>
  <si>
    <t xml:space="preserve">New IBCLC partners / month</t>
  </si>
  <si>
    <t xml:space="preserve">5/month. THE growth lever — scenarios flex 3/5/8. Nearly all revenue variance traces back here.</t>
  </si>
  <si>
    <t xml:space="preserve">A-08</t>
  </si>
  <si>
    <t xml:space="preserve">Assumptions!C81</t>
  </si>
  <si>
    <t xml:space="preserve">Referral to paid conversion</t>
  </si>
  <si>
    <t xml:space="preserve">50%. A warm handoff from a trusted IBCLC should convert well, but this is unproven.</t>
  </si>
  <si>
    <t xml:space="preserve">A-09</t>
  </si>
  <si>
    <t xml:space="preserve">Assumptions!C31</t>
  </si>
  <si>
    <t xml:space="preserve">Active weeks per user (15-mo)</t>
  </si>
  <si>
    <t xml:space="preserve">CDC NIS-Child 2022; Journey Map tab</t>
  </si>
  <si>
    <t xml:space="preserve">32 active weeks across a ~65-wk journey. Sum of four evidence-based peaks: establishment (9), return-to-work (7), solids (9), weaning (7). Peak TIMING is CDC data; the active-week counts are estimates.</t>
  </si>
  <si>
    <t xml:space="preserve">Validate in beta</t>
  </si>
  <si>
    <t xml:space="preserve">A-10</t>
  </si>
  <si>
    <t xml:space="preserve">Assumptions!C30</t>
  </si>
  <si>
    <t xml:space="preserve">Queries per active week</t>
  </si>
  <si>
    <t xml:space="preserve">UX spec (2-5 range)</t>
  </si>
  <si>
    <t xml:space="preserve">4/week. Low impact — LLM cost is trivial on Haiku.</t>
  </si>
  <si>
    <t xml:space="preserve">A-11</t>
  </si>
  <si>
    <t xml:space="preserve">Assumptions!C74</t>
  </si>
  <si>
    <t xml:space="preserve">Founder salary</t>
  </si>
  <si>
    <t xml:space="preserve">Founder decision — bootstrap</t>
  </si>
  <si>
    <t xml:space="preserve">$0. The model EXCLUDES founder opportunity cost. Profitability here is pre-founder-comp — a reader must know this.</t>
  </si>
  <si>
    <t xml:space="preserve">Deliberate</t>
  </si>
  <si>
    <t xml:space="preserve">A-12</t>
  </si>
  <si>
    <t xml:space="preserve">Assumptions!C70</t>
  </si>
  <si>
    <t xml:space="preserve">Paid marketing / month</t>
  </si>
  <si>
    <t xml:space="preserve">Founder decision</t>
  </si>
  <si>
    <t xml:space="preserve">$750/mo post-launch. Flat spend against a growing base means implied CAC drifts down over time; acceptable at v1 scale.</t>
  </si>
  <si>
    <t xml:space="preserve">Revisit at scale</t>
  </si>
  <si>
    <t xml:space="preserve">A-13</t>
  </si>
  <si>
    <t xml:space="preserve">Assumptions!C66</t>
  </si>
  <si>
    <t xml:space="preserve">Advisor hours / month</t>
  </si>
  <si>
    <t xml:space="preserve">6 hrs x $75 = $450/mo. Single biggest driver pushing breakeven from M9 to M12.</t>
  </si>
  <si>
    <t xml:space="preserve">Confirm w/ advisor</t>
  </si>
  <si>
    <t xml:space="preserve">A-14</t>
  </si>
  <si>
    <t xml:space="preserve">Assumptions!C61</t>
  </si>
  <si>
    <t xml:space="preserve">Advisor hourly rate</t>
  </si>
  <si>
    <t xml:space="preserve">ACTION-ITEMS.md ($75-150 range)</t>
  </si>
  <si>
    <t xml:space="preserve">$75/hr — low end of the documented range.</t>
  </si>
  <si>
    <t xml:space="preserve">A-15</t>
  </si>
  <si>
    <t xml:space="preserve">Assumptions!C41</t>
  </si>
  <si>
    <t xml:space="preserve">Supabase Pro</t>
  </si>
  <si>
    <t xml:space="preserve">technical-design-v1.md; Supabase pricing</t>
  </si>
  <si>
    <t xml:space="preserve">$25/mo.</t>
  </si>
  <si>
    <t xml:space="preserve">A-16</t>
  </si>
  <si>
    <t xml:space="preserve">Assumptions!C32</t>
  </si>
  <si>
    <t xml:space="preserve">Haiku input token cost</t>
  </si>
  <si>
    <t xml:space="preserve">Anthropic published pricing</t>
  </si>
  <si>
    <t xml:space="preserve">Public rate card.</t>
  </si>
  <si>
    <t xml:space="preserve">A-17</t>
  </si>
  <si>
    <t xml:space="preserve">TAM!C5</t>
  </si>
  <si>
    <t xml:space="preserve">US births / year</t>
  </si>
  <si>
    <t xml:space="preserve">CDC/NCHS, Births in the US 2024 (final)</t>
  </si>
  <si>
    <t xml:space="preserve">3,628,934 registered births. Hard national data.</t>
  </si>
  <si>
    <t xml:space="preserve">A-18</t>
  </si>
  <si>
    <t xml:space="preserve">TAM!C6</t>
  </si>
  <si>
    <t xml:space="preserve">Breastfeeding initiation</t>
  </si>
  <si>
    <t xml:space="preserve">CDC NIS-Child (birth yr 2022)</t>
  </si>
  <si>
    <t xml:space="preserve">~83% ever breastfed. National blend of subgroups (82.4% ages 20-29; 87.5% age 30+; 92.2% WIC-ineligible).</t>
  </si>
  <si>
    <t xml:space="preserve">A-19</t>
  </si>
  <si>
    <t xml:space="preserve">TAM!C8</t>
  </si>
  <si>
    <t xml:space="preserve">Digital-reachable share</t>
  </si>
  <si>
    <t xml:space="preserve">90%. Smartphone use among new mothers is near-universal.</t>
  </si>
  <si>
    <t xml:space="preserve">Low risk</t>
  </si>
  <si>
    <t xml:space="preserve">A-20</t>
  </si>
  <si>
    <t xml:space="preserve">TAM!C9</t>
  </si>
  <si>
    <t xml:space="preserve">Willingness to pay</t>
  </si>
  <si>
    <t xml:space="preserve">PLACEHOLDER</t>
  </si>
  <si>
    <t xml:space="preserve">30%. The single largest swing in SAM. Held at 30% by decision, pending the WTP study.</t>
  </si>
  <si>
    <t xml:space="preserve">A-21</t>
  </si>
  <si>
    <t xml:space="preserve">Payer Model!C15</t>
  </si>
  <si>
    <t xml:space="preserve">Sponsor engagement rate</t>
  </si>
  <si>
    <t xml:space="preserve">45% of a covered birth cohort activates. Drives all per-member sponsor revenue.</t>
  </si>
  <si>
    <t xml:space="preserve">A-22</t>
  </si>
  <si>
    <t xml:space="preserve">Payer Model!C17</t>
  </si>
  <si>
    <t xml:space="preserve">Contract renewal rate</t>
  </si>
  <si>
    <t xml:space="preserve">Enterprise SaaS norm</t>
  </si>
  <si>
    <t xml:space="preserve">85% implies a 6.7-yr expected contract life. Biggest swing in contract LTV. No evidence behind it yet.</t>
  </si>
  <si>
    <t xml:space="preserve">A-23</t>
  </si>
  <si>
    <t xml:space="preserve">Payer Model!C16</t>
  </si>
  <si>
    <t xml:space="preserve">Platform fee / contract</t>
  </si>
  <si>
    <t xml:space="preserve">Maven (Sacra): $20-40K/yr</t>
  </si>
  <si>
    <t xml:space="preserve">$25K — mid-range of the public benchmark.</t>
  </si>
  <si>
    <t xml:space="preserve">Benchmark only</t>
  </si>
  <si>
    <t xml:space="preserve">A-24</t>
  </si>
  <si>
    <t xml:space="preserve">Payer Model!C14</t>
  </si>
  <si>
    <t xml:space="preserve">Births per contract</t>
  </si>
  <si>
    <t xml:space="preserve">Mid-size employer/plan</t>
  </si>
  <si>
    <t xml:space="preserve">800/yr. Sizing assumption for a mid-size sponsor.</t>
  </si>
  <si>
    <t xml:space="preserve">Per-deal input</t>
  </si>
  <si>
    <t xml:space="preserve">A-25</t>
  </si>
  <si>
    <t xml:space="preserve">Journey Map!C22</t>
  </si>
  <si>
    <t xml:space="preserve">Median weaning age</t>
  </si>
  <si>
    <t xml:space="preserve">CDC NIS-Child 2022 (n=19,309)</t>
  </si>
  <si>
    <t xml:space="preserve">50.7% of 6-week survivors still breastfeeding at 12 months — median weaning is ~12 months. This is WHY scope extends to 15 months: a 12-month product would end exactly at the median weaning event.</t>
  </si>
  <si>
    <t xml:space="preserve">A-26</t>
  </si>
  <si>
    <t xml:space="preserve">Journey Map!E16</t>
  </si>
  <si>
    <t xml:space="preserve">Solids weaning cliff</t>
  </si>
  <si>
    <t xml:space="preserve">CDC NIS-Child 2022</t>
  </si>
  <si>
    <t xml:space="preserve">12.9% of remaining mothers stop between month 6 and 7 — the single biggest monthly cliff in year one. Strongest evidence for the solids module.</t>
  </si>
  <si>
    <t xml:space="preserve">A-27</t>
  </si>
  <si>
    <t xml:space="preserve">Journey Map!E13</t>
  </si>
  <si>
    <t xml:space="preserve">Return-to-work cliff</t>
  </si>
  <si>
    <t xml:space="preserve">7.7% hazard at M3-M4, coinciding with the end of ~12-week US maternity leave. Basis for adding return-to-work as peak 2.</t>
  </si>
  <si>
    <t xml:space="preserve">Hard external data or a published rate card. Trust it.</t>
  </si>
  <si>
    <t xml:space="preserve">Anchored to a real external comparable, but not our own data.</t>
  </si>
  <si>
    <t xml:space="preserve">Reasoned founder judgment. Directionally sound, unproven.</t>
  </si>
  <si>
    <t xml:space="preserve">A guess. Carries real risk. Validate before relying on it.</t>
  </si>
  <si>
    <t xml:space="preserve">LATCHED — ASSUMPTIONS</t>
  </si>
  <si>
    <t xml:space="preserve">Low / Base</t>
  </si>
  <si>
    <t xml:space="preserve">Source &amp; rationale (audit trail)</t>
  </si>
  <si>
    <t xml:space="preserve">PRICING &amp; REVENUE</t>
  </si>
  <si>
    <t xml:space="preserve">[PRD v0.9; competitor scan (LactApp, Nest)] $49 one-time. NOTE: priced for 6-wk scope; 12-mo milk→solids scope may justify $69–99 (see Unit Economics price sensitivity).</t>
  </si>
  <si>
    <t xml:space="preserve">Money-back guarantee window (days)</t>
  </si>
  <si>
    <t xml:space="preserve">Source: mvp-experience-spec v1.0</t>
  </si>
  <si>
    <t xml:space="preserve">Target refund rate</t>
  </si>
  <si>
    <t xml:space="preserve">[PRD v0.9 — target &lt;10%] 10% refund used as conservative ceiling, not target.</t>
  </si>
  <si>
    <t xml:space="preserve">B2B2C attribution share (% of signups)</t>
  </si>
  <si>
    <t xml:space="preserve">Source: PRD v0.9 — target ≥40% via IBCLC referral channel</t>
  </si>
  <si>
    <t xml:space="preserve">PAYMENT PROCESSING (STRIPE)</t>
  </si>
  <si>
    <t xml:space="preserve">Stripe percentage fee</t>
  </si>
  <si>
    <t xml:space="preserve">[Stripe published pricing] 2.9% + $0.30 standard US card rate.</t>
  </si>
  <si>
    <t xml:space="preserve">Stripe per-transaction fee ($)</t>
  </si>
  <si>
    <t xml:space="preserve">[Stripe published pricing] Fixed per-transaction fee.</t>
  </si>
  <si>
    <t xml:space="preserve">CUSTOMER ACQUISITION</t>
  </si>
  <si>
    <t xml:space="preserve">B2C blended CAC target ($)</t>
  </si>
  <si>
    <t xml:space="preserve">[PRD v0.9; Meta/IG CPA benchmarks] $30 blended B2C CAC target. At $49 price this yields only 1.41x LTV:CAC — structurally thin.</t>
  </si>
  <si>
    <t xml:space="preserve">B2C CAC high scenario ($)</t>
  </si>
  <si>
    <t xml:space="preserve">[Filled] conservative / high scenario CAC</t>
  </si>
  <si>
    <t xml:space="preserve">B2B2C CAC — estimated ($)</t>
  </si>
  <si>
    <t xml:space="preserve">[Referral partner economics] $10 B2B2C CAC — warm referral is far cheaper than paid. Drives the 4.24x LTV:CAC that justifies the referral strategy.</t>
  </si>
  <si>
    <t xml:space="preserve">IBCLC design partners recruited (#)</t>
  </si>
  <si>
    <t xml:space="preserve">[ACTION-ITEMS.md target 5-10] 7 design partners at launch.</t>
  </si>
  <si>
    <t xml:space="preserve">Avg moms referred per IBCLC per month</t>
  </si>
  <si>
    <t xml:space="preserve">[Founder estimate] 3 referrals per IBCLC per month. UNVALIDATED — core driver of the entire growth engine.</t>
  </si>
  <si>
    <t xml:space="preserve">B2C paid conversion rate (landing page → purchase)</t>
  </si>
  <si>
    <t xml:space="preserve">[Industry landing-page norms] 2% B2C conversion. Informational only — not wired to signups (spend÷CAC drives B2C).</t>
  </si>
  <si>
    <t xml:space="preserve">USER GROWTH ASSUMPTIONS</t>
  </si>
  <si>
    <t xml:space="preserve">Launch month (Month #)</t>
  </si>
  <si>
    <t xml:space="preserve">Source: 4-5 month build timeline per conversation-summary-2026-05-24. Model uses Month 5.</t>
  </si>
  <si>
    <t xml:space="preserve">New paid signups — Month 5 (launch)</t>
  </si>
  <si>
    <t xml:space="preserve">Source: ~100 signups in first 90 days target (PRD). Assume ramp: 10→30→60 across months 5-7.</t>
  </si>
  <si>
    <t xml:space="preserve">New paid signups — Month 6</t>
  </si>
  <si>
    <t xml:space="preserve">Source: derived from 100-in-90-days target (PRD v0.9)</t>
  </si>
  <si>
    <t xml:space="preserve">New paid signups — Month 7</t>
  </si>
  <si>
    <t xml:space="preserve">Monthly growth rate post-Month 7 (%)</t>
  </si>
  <si>
    <t xml:space="preserve">[Filled] organic + paid growth assumption post-100 users</t>
  </si>
  <si>
    <t xml:space="preserve">Churn rate (% of total users/month)</t>
  </si>
  <si>
    <t xml:space="preserve">One-time purchase — no subscription churn. Set 0. Track re-engage.</t>
  </si>
  <si>
    <t xml:space="preserve">LLM &amp; API COSTS</t>
  </si>
  <si>
    <t xml:space="preserve">Smart-FAQ queries per user per week (while active)</t>
  </si>
  <si>
    <t xml:space="preserve">[UX spec; likely 2-5/wk] 4 Smart-FAQ queries per active week.</t>
  </si>
  <si>
    <t xml:space="preserve">Avg ACTIVE weeks per user (15-mo journey)</t>
  </si>
  <si>
    <t xml:space="preserve">[CDC NIS-Child 2022 + Journey Map tab] 32 active wks across a ~65-wk (15-month) journey. Four peaks: establishment (9wk), return-to-work (7wk), solids (9wk), weaning (7wk). Between peaks users are dormant.</t>
  </si>
  <si>
    <t xml:space="preserve">Claude Haiku cost per 1K input tokens ($)</t>
  </si>
  <si>
    <t xml:space="preserve">[Anthropic published pricing] Claude Haiku input token cost.</t>
  </si>
  <si>
    <t xml:space="preserve">Claude Haiku cost per 1K output tokens ($)</t>
  </si>
  <si>
    <t xml:space="preserve">[Anthropic published pricing] Claude Haiku output token cost.</t>
  </si>
  <si>
    <t xml:space="preserve">Avg tokens per FAQ query (input)</t>
  </si>
  <si>
    <t xml:space="preserve">Estimate: system prompt ~300 + user query ~200 tokens</t>
  </si>
  <si>
    <t xml:space="preserve">Avg tokens per FAQ response (output)</t>
  </si>
  <si>
    <t xml:space="preserve">Estimate: canned answer ~200-400 tokens</t>
  </si>
  <si>
    <t xml:space="preserve">Embedding cost per 1M tokens ($) — text-embedding-3-small</t>
  </si>
  <si>
    <t xml:space="preserve">Source: technical-design-v1.md — OpenAI text-embedding-3-small</t>
  </si>
  <si>
    <t xml:space="preserve">Avg tokens to embed per query</t>
  </si>
  <si>
    <t xml:space="preserve">Estimate: user query ~50 tokens for semantic match</t>
  </si>
  <si>
    <t xml:space="preserve">INFRASTRUCTURE (MONTHLY FIXED)</t>
  </si>
  <si>
    <t xml:space="preserve">Supabase — pre-launch (free tier)</t>
  </si>
  <si>
    <t xml:space="preserve">Source: technical-design-v1.md — free tier during Phase 0</t>
  </si>
  <si>
    <t xml:space="preserve">Supabase Pro (post scale-up)</t>
  </si>
  <si>
    <t xml:space="preserve">[technical-design-v1.md; Supabase pricing] Supabase Pro $25/mo.</t>
  </si>
  <si>
    <t xml:space="preserve">Supabase upgrade threshold (users)</t>
  </si>
  <si>
    <t xml:space="preserve">[Supabase docs] 500-user upgrade threshold. Informational — not wired into COGS.</t>
  </si>
  <si>
    <t xml:space="preserve">Vercel — pre-launch (free/hobby)</t>
  </si>
  <si>
    <t xml:space="preserve">Source: technical-design-v1.md — free tier / Lovable Pro handles hosting</t>
  </si>
  <si>
    <t xml:space="preserve">Vercel Pro (if needed)</t>
  </si>
  <si>
    <t xml:space="preserve">Source: Vercel pricing — $20/month Pro. Currently on free.</t>
  </si>
  <si>
    <t xml:space="preserve">PostHog (free tier)</t>
  </si>
  <si>
    <t xml:space="preserve">Source: technical-design-v1.md — PostHog free tier</t>
  </si>
  <si>
    <t xml:space="preserve">Resend email</t>
  </si>
  <si>
    <t xml:space="preserve">Source: technical-design-v1.md — Resend (free tier at v1 scale)</t>
  </si>
  <si>
    <t xml:space="preserve">InfantRisk.com subscription ($/month)</t>
  </si>
  <si>
    <t xml:space="preserve">Source: PRD v0.9 — $10/month</t>
  </si>
  <si>
    <t xml:space="preserve">Linear (project mgmt)</t>
  </si>
  <si>
    <t xml:space="preserve">Source: technical-design-v1.md — Linear (free for solo)</t>
  </si>
  <si>
    <t xml:space="preserve">Other SaaS / misc tools</t>
  </si>
  <si>
    <t xml:space="preserve">[Filled] domain, email, Figma, etc.</t>
  </si>
  <si>
    <t xml:space="preserve">PRE-LAUNCH ONE-TIME COSTS (PHASE 0)</t>
  </si>
  <si>
    <t xml:space="preserve">Research survey gift cards (10 moms × $20)</t>
  </si>
  <si>
    <t xml:space="preserve">Source: ACTION-ITEMS.md — Experiment 2, 10 moms × $20 gift card</t>
  </si>
  <si>
    <t xml:space="preserve">Cold IBCLC interviews (5 × $75 incentive)</t>
  </si>
  <si>
    <t xml:space="preserve">Source: ACTION-ITEMS.md — 5 cold IBCLC interviews × $75</t>
  </si>
  <si>
    <t xml:space="preserve">Printable ruler accuracy test (15+ moms)</t>
  </si>
  <si>
    <t xml:space="preserve">[Filled] incentive amount × 15 moms for ruler accuracy test</t>
  </si>
  <si>
    <t xml:space="preserve">Lovable / Figma prototype (Experiment 3)</t>
  </si>
  <si>
    <t xml:space="preserve">[Filled] Lovable Pro subscription cost if not already paid</t>
  </si>
  <si>
    <t xml:space="preserve">WTP validation study cost</t>
  </si>
  <si>
    <t xml:space="preserve">[Filled] cost of Wizard-of-Oz WTP test ($49 price point)</t>
  </si>
  <si>
    <t xml:space="preserve">Legal — privacy policy / advisor agreement</t>
  </si>
  <si>
    <t xml:space="preserve">[Filled] lawyer fees or template service cost</t>
  </si>
  <si>
    <t xml:space="preserve">Stripe account setup (one-time)</t>
  </si>
  <si>
    <t xml:space="preserve">Stripe setup is free</t>
  </si>
  <si>
    <t xml:space="preserve">IBCLC ADVISOR</t>
  </si>
  <si>
    <t xml:space="preserve">Advisor hourly rate — low ($)</t>
  </si>
  <si>
    <t xml:space="preserve">[ACTION-ITEMS.md — $75-150/hr range] IBCLC advisor low rate.</t>
  </si>
  <si>
    <t xml:space="preserve">Advisor hourly rate — high ($)</t>
  </si>
  <si>
    <t xml:space="preserve">Source: ACTION-ITEMS.md — $75-150/hr range</t>
  </si>
  <si>
    <t xml:space="preserve">Pre-launch review hours — low</t>
  </si>
  <si>
    <t xml:space="preserve">Source: ACTION-ITEMS.md — ~90-116 hrs total pre-launch</t>
  </si>
  <si>
    <t xml:space="preserve">Pre-launch review hours — high</t>
  </si>
  <si>
    <t xml:space="preserve">Advisor equity option (% if equity comp)</t>
  </si>
  <si>
    <t xml:space="preserve">[Filled] 0.25-0.5% per ACTION-ITEMS.md if equity route taken</t>
  </si>
  <si>
    <t xml:space="preserve">Monthly ongoing review hours (post-launch)</t>
  </si>
  <si>
    <t xml:space="preserve">[Founder estimate] 6 advisor hrs/mo post-launch = $450/mo. Main driver pushing breakeven to M12.</t>
  </si>
  <si>
    <t xml:space="preserve">MARKETING SPEND</t>
  </si>
  <si>
    <t xml:space="preserve">Monthly paid marketing — pre-launch ($)</t>
  </si>
  <si>
    <t xml:space="preserve">Zero pre-launch; validation is organic/manual</t>
  </si>
  <si>
    <t xml:space="preserve">Monthly paid marketing — post-launch ($)</t>
  </si>
  <si>
    <t xml:space="preserve">[Founder decision] $750/mo paid marketing post-launch. Flat spend vs. compounding growth = implied CAC drifts; acceptable at v1.</t>
  </si>
  <si>
    <t xml:space="preserve">IBCLC design partner outreach cost/month</t>
  </si>
  <si>
    <t xml:space="preserve">[Founder decision] $75/mo IBCLC outreach, runs from M1 (pre-launch partner recruiting).</t>
  </si>
  <si>
    <t xml:space="preserve">FOUNDER / SALARY</t>
  </si>
  <si>
    <t xml:space="preserve">Founder salary ($/month)</t>
  </si>
  <si>
    <t xml:space="preserve">[Founder decision — bootstrap] $0 founder salary. Model EXCLUDES founder opportunity cost. A reader should know profitability is pre-founder-comp.</t>
  </si>
  <si>
    <t xml:space="preserve">Contractor / freelance budget ($/month)</t>
  </si>
  <si>
    <t xml:space="preserve">[Filled] design, copywriting, etc.</t>
  </si>
  <si>
    <t xml:space="preserve">REFERRAL GROWTH ENGINE</t>
  </si>
  <si>
    <t xml:space="preserve">Design partners active at launch (#)</t>
  </si>
  <si>
    <t xml:space="preserve">Link → C17 (IBCLC design partners recruited)</t>
  </si>
  <si>
    <t xml:space="preserve">New IBCLC partners onboarded / month</t>
  </si>
  <si>
    <t xml:space="preserve">[Founder estimate] 5 new IBCLC partners/month. THE core growth lever — scenario-varied 3/5/8. Everything keys off this.</t>
  </si>
  <si>
    <t xml:space="preserve">Referrals per partner / month</t>
  </si>
  <si>
    <t xml:space="preserve">Link → C18</t>
  </si>
  <si>
    <t xml:space="preserve">Referral → paid conversion rate</t>
  </si>
  <si>
    <t xml:space="preserve">[Founder estimate] 50% referral→paid conversion. Warm referral from a trusted IBCLC should convert well, but UNPROVEN.</t>
  </si>
  <si>
    <t xml:space="preserve">B2C signups/mo (mktg budget ÷ B2C CAC)</t>
  </si>
  <si>
    <t xml:space="preserve">Spend-driven; =750/30</t>
  </si>
  <si>
    <t xml:space="preserve">LATCHED — 15-MONTH JOURNEY MAP (CDC-derived)</t>
  </si>
  <si>
    <t xml:space="preserve">Evidence base for scope, engagement peaks, and active-weeks assumption. All figures from CDC NIS-Child 2022 birth cohort (n=19,309).</t>
  </si>
  <si>
    <t xml:space="preserve">SOURCE: CDC, NIS-Child Data Results — 'Rates of any and exclusive breastfeeding by age among children born in 2022'.</t>
  </si>
  <si>
    <t xml:space="preserve">KEY FINDING: median weaning among mothers who pass 6 weeks is ~12 months. A 12-month product would end exactly at the median weaning event.</t>
  </si>
  <si>
    <t xml:space="preserve">A. BREASTFEEDING SURVIVAL &amp; WEANING HAZARD</t>
  </si>
  <si>
    <t xml:space="preserve">Infant age</t>
  </si>
  <si>
    <t xml:space="preserve">% of ALL infants still BF (CDC)</t>
  </si>
  <si>
    <t xml:space="preserve">% of 6-WEEK survivors still BF</t>
  </si>
  <si>
    <t xml:space="preserve">Monthly weaning hazard</t>
  </si>
  <si>
    <t xml:space="preserve">Signal</t>
  </si>
  <si>
    <t xml:space="preserve">At birth</t>
  </si>
  <si>
    <t xml:space="preserve">1 month</t>
  </si>
  <si>
    <t xml:space="preserve">6 weeks (baseline)</t>
  </si>
  <si>
    <t xml:space="preserve">BASELINE — journey survivors</t>
  </si>
  <si>
    <t xml:space="preserve">2 months</t>
  </si>
  <si>
    <t xml:space="preserve">3 months</t>
  </si>
  <si>
    <t xml:space="preserve">4 months</t>
  </si>
  <si>
    <t xml:space="preserve">PEAK 2 — RETURN TO WORK (12-wk leave)</t>
  </si>
  <si>
    <t xml:space="preserve">5 months</t>
  </si>
  <si>
    <t xml:space="preserve">6 months</t>
  </si>
  <si>
    <t xml:space="preserve">7 months</t>
  </si>
  <si>
    <t xml:space="preserve">PEAK 3 — SOLIDS. Biggest single-month cliff.</t>
  </si>
  <si>
    <t xml:space="preserve">8 months</t>
  </si>
  <si>
    <t xml:space="preserve">9 months</t>
  </si>
  <si>
    <t xml:space="preserve">10 months</t>
  </si>
  <si>
    <t xml:space="preserve">11 months</t>
  </si>
  <si>
    <t xml:space="preserve">12 months</t>
  </si>
  <si>
    <t xml:space="preserve">MEDIAN WEANING — 50% of survivors remain</t>
  </si>
  <si>
    <t xml:space="preserve">13-15 months</t>
  </si>
  <si>
    <t xml:space="preserve">PEAK 4 — WEANING (sustained plateau)</t>
  </si>
  <si>
    <t xml:space="preserve">18 months</t>
  </si>
  <si>
    <t xml:space="preserve">Only 24% of survivors remain</t>
  </si>
  <si>
    <t xml:space="preserve">B. THE FOUR ENGAGEMENT PEAKS → ACTIVE-WEEKS BUILD</t>
  </si>
  <si>
    <t xml:space="preserve">#</t>
  </si>
  <si>
    <t xml:space="preserve">Peak</t>
  </si>
  <si>
    <t xml:space="preserve">Active weeks</t>
  </si>
  <si>
    <t xml:space="preserve">Why engagement spikes</t>
  </si>
  <si>
    <t xml:space="preserve">Evidence</t>
  </si>
  <si>
    <t xml:space="preserve">Milk establishment</t>
  </si>
  <si>
    <t xml:space="preserve">Weeks 0–8</t>
  </si>
  <si>
    <t xml:space="preserve">Latch, supply, pain, weight gain. Highest-risk window — most breastfeeding failure begins here.</t>
  </si>
  <si>
    <t xml:space="preserve">CDC: ~60% stop earlier than intended</t>
  </si>
  <si>
    <t xml:space="preserve">Return to work</t>
  </si>
  <si>
    <t xml:space="preserve">Months 3–4</t>
  </si>
  <si>
    <t xml:space="preserve">Pumping logistics, supply maintenance, bottle refusal. US leave is ~12 weeks.</t>
  </si>
  <si>
    <t xml:space="preserve">CDC hazard jumps to 7.7% at M3→M4</t>
  </si>
  <si>
    <t xml:space="preserve">Solids introduction</t>
  </si>
  <si>
    <t xml:space="preserve">Months 5–7</t>
  </si>
  <si>
    <t xml:space="preserve">Allergen introduction; how solids affect milk/formula intake. Anxiety spike.</t>
  </si>
  <si>
    <t xml:space="preserve">CDC hazard 12.9% at M6→M7 — biggest cliff in year 1</t>
  </si>
  <si>
    <t xml:space="preserve">Weaning</t>
  </si>
  <si>
    <t xml:space="preserve">Months 12–15</t>
  </si>
  <si>
    <t xml:space="preserve">Night weaning, supply reduction, cow's-milk transition, emotional close.</t>
  </si>
  <si>
    <t xml:space="preserve">CDC: median weaning ~12mo; hazard ~11.8%/mo through M18</t>
  </si>
  <si>
    <t xml:space="preserve">TOTAL ACTIVE WEEKS</t>
  </si>
  <si>
    <t xml:space="preserve">→ feeds Assumptions!C31. Journey spans ~65 wks; only ~32 are active. Between peaks users go dormant.</t>
  </si>
  <si>
    <t xml:space="preserve">LATCHED — GROWTH ENGINE (referral-driven)</t>
  </si>
  <si>
    <t xml:space="preserve">B2B2C = active partners × referrals/partner × conversion · B2C = marketing ÷ CAC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</si>
  <si>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</si>
  <si>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</si>
  <si>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</si>
  <si>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</si>
  <si>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</si>
  <si>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</si>
  <si>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</si>
  <si>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</si>
  <si>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</si>
  <si>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</si>
  <si>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</si>
  <si>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</si>
  <si>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</si>
  <si>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</si>
  <si>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</si>
  <si>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</si>
  <si>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</si>
  <si>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</si>
  <si>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</si>
  <si>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Active IBCLC partners</t>
  </si>
  <si>
    <t xml:space="preserve">B2B2C signups</t>
  </si>
  <si>
    <t xml:space="preserve">B2C signups</t>
  </si>
  <si>
    <t xml:space="preserve">Total gross signups</t>
  </si>
  <si>
    <t xml:space="preserve">REVENUE — 18-Month Model</t>
  </si>
  <si>
    <t xml:space="preserve">net_rev_row=14</t>
  </si>
  <si>
    <t xml:space="preserve">(Phase 0 = Months 1-4, Launch = Month 5)</t>
  </si>
  <si>
    <t xml:space="preserve">gross_rev_row=12</t>
  </si>
  <si>
    <t xml:space="preserve">USER ACQUISITION</t>
  </si>
  <si>
    <t xml:space="preserve">net_signups_row=6</t>
  </si>
  <si>
    <t xml:space="preserve">New paid signups (gross)</t>
  </si>
  <si>
    <t xml:space="preserve">cum_users_row=9</t>
  </si>
  <si>
    <t xml:space="preserve">    Refunds (gross signups × refund rate)</t>
  </si>
  <si>
    <t xml:space="preserve">Net paid signups</t>
  </si>
  <si>
    <t xml:space="preserve">  of which: B2B2C (IBCLC-referred)</t>
  </si>
  <si>
    <t xml:space="preserve">  of which: Direct B2C</t>
  </si>
  <si>
    <t xml:space="preserve">Cumulative total users</t>
  </si>
  <si>
    <t xml:space="preserve">GROSS REVENUE</t>
  </si>
  <si>
    <t xml:space="preserve">Gross revenue (net signups × $49)</t>
  </si>
  <si>
    <t xml:space="preserve">  Stripe fees (–2.9% – $0.30/txn)</t>
  </si>
  <si>
    <t xml:space="preserve">Net revenue (after Stripe)</t>
  </si>
  <si>
    <t xml:space="preserve">COGS — 18-Month Model</t>
  </si>
  <si>
    <t xml:space="preserve">total_cogs_row=13</t>
  </si>
  <si>
    <t xml:space="preserve">VARIABLE COSTS (PER USER / PER QUERY)</t>
  </si>
  <si>
    <t xml:space="preserve">LLM cost per active user ($/user) [formula-driven]</t>
  </si>
  <si>
    <t xml:space="preserve">Total LLM cost (LLM/user × new signups)</t>
  </si>
  <si>
    <t xml:space="preserve">FIXED INFRASTRUCTURE (MONTHLY)</t>
  </si>
  <si>
    <t xml:space="preserve">Supabase</t>
  </si>
  <si>
    <t xml:space="preserve">Vercel hosting</t>
  </si>
  <si>
    <t xml:space="preserve">InfantRisk.com subscription</t>
  </si>
  <si>
    <t xml:space="preserve">TOTAL COGS</t>
  </si>
  <si>
    <t xml:space="preserve">Total COGS</t>
  </si>
  <si>
    <t xml:space="preserve">OPEX — 18-Month Model</t>
  </si>
  <si>
    <t xml:space="preserve">total_opex_row=25</t>
  </si>
  <si>
    <t xml:space="preserve">ADVISOR FEES</t>
  </si>
  <si>
    <t xml:space="preserve">IBCLC advisor — pre-launch (low estimate)</t>
  </si>
  <si>
    <t xml:space="preserve">IBCLC advisor — pre-launch (high estimate)</t>
  </si>
  <si>
    <t xml:space="preserve">IBCLC advisor — ongoing (post-launch)</t>
  </si>
  <si>
    <t xml:space="preserve">RESEARCH &amp; VALIDATION (PHASE 0)</t>
  </si>
  <si>
    <t xml:space="preserve">Research survey incentives ($200 total)</t>
  </si>
  <si>
    <t xml:space="preserve">Cold IBCLC interview incentives ($375 total)</t>
  </si>
  <si>
    <t xml:space="preserve">Other validation costs (ruler test, WTP, legal)</t>
  </si>
  <si>
    <t xml:space="preserve">MARKETING</t>
  </si>
  <si>
    <t xml:space="preserve">Paid marketing</t>
  </si>
  <si>
    <t xml:space="preserve">IBCLC partner outreach / referral program</t>
  </si>
  <si>
    <t xml:space="preserve">PEOPLE</t>
  </si>
  <si>
    <t xml:space="preserve">Contractors / freelancers</t>
  </si>
  <si>
    <t xml:space="preserve">G&amp;A / TOOLS</t>
  </si>
  <si>
    <t xml:space="preserve">Other SaaS &amp; tools</t>
  </si>
  <si>
    <t xml:space="preserve">TOTAL OPEX</t>
  </si>
  <si>
    <t xml:space="preserve">Total OpEx (base — low advisor)</t>
  </si>
  <si>
    <t xml:space="preserve">P&amp;L — 18-Month Model</t>
  </si>
  <si>
    <t xml:space="preserve">PROFIT &amp; LOSS SUMMARY</t>
  </si>
  <si>
    <t xml:space="preserve">Net Revenue</t>
  </si>
  <si>
    <t xml:space="preserve">  Total COGS</t>
  </si>
  <si>
    <t xml:space="preserve">Gross Profit</t>
  </si>
  <si>
    <t xml:space="preserve">Gross Margin %</t>
  </si>
  <si>
    <t xml:space="preserve">  Total OpEx</t>
  </si>
  <si>
    <t xml:space="preserve">EBITDA / Net Operating Income</t>
  </si>
  <si>
    <t xml:space="preserve">Cumulative Cash Position (simplified)</t>
  </si>
  <si>
    <t xml:space="preserve">SUPPORTING METRICS</t>
  </si>
  <si>
    <t xml:space="preserve">New Paid Signups (net)</t>
  </si>
  <si>
    <t xml:space="preserve">Cumulative Users</t>
  </si>
  <si>
    <t xml:space="preserve">LATCHED — REFERRAL-DRIVEN GROWTH SCENARIOS</t>
  </si>
  <si>
    <t xml:space="preserve">Lever = new IBCLC partners onboarded/month · B2C fixed (spend÷CAC) · 18-month</t>
  </si>
  <si>
    <t xml:space="preserve">SCENARIO COMPARISON</t>
  </si>
  <si>
    <t xml:space="preserve">Scenario</t>
  </si>
  <si>
    <t xml:space="preserve">Partners +/mo</t>
  </si>
  <si>
    <t xml:space="preserve">Signups M18/mo</t>
  </si>
  <si>
    <t xml:space="preserve">Net rev (18-mo)</t>
  </si>
  <si>
    <t xml:space="preserve">Cum users M18</t>
  </si>
  <si>
    <t xml:space="preserve">Cum cash M18</t>
  </si>
  <si>
    <t xml:space="preserve">Breakeven mo</t>
  </si>
  <si>
    <t xml:space="preserve">Peak cash need</t>
  </si>
  <si>
    <t xml:space="preserve">Conservative</t>
  </si>
  <si>
    <t xml:space="preserve">Base</t>
  </si>
  <si>
    <t xml:space="preserve">Aggressive</t>
  </si>
  <si>
    <t xml:space="preserve">CONSERVATIVE — 3 partners/mo</t>
  </si>
  <si>
    <t xml:space="preserve">New partners/month</t>
  </si>
  <si>
    <t xml:space="preserve">Active partners</t>
  </si>
  <si>
    <t xml:space="preserve">Gross signups</t>
  </si>
  <si>
    <t xml:space="preserve">Net signups</t>
  </si>
  <si>
    <t xml:space="preserve">Cumulative users</t>
  </si>
  <si>
    <t xml:space="preserve">Net revenue</t>
  </si>
  <si>
    <t xml:space="preserve">Gross profit</t>
  </si>
  <si>
    <t xml:space="preserve">Total OpEx</t>
  </si>
  <si>
    <t xml:space="preserve">EBITDA</t>
  </si>
  <si>
    <t xml:space="preserve">Cumulative cash</t>
  </si>
  <si>
    <t xml:space="preserve">BE flag</t>
  </si>
  <si>
    <t xml:space="preserve">BASE — 5 partners/mo</t>
  </si>
  <si>
    <t xml:space="preserve">AGGRESSIVE — 8 partners/mo</t>
  </si>
  <si>
    <t xml:space="preserve">LATCHED — US TAM &amp; PENETRATION STRESS TEST</t>
  </si>
  <si>
    <t xml:space="preserve">Top-down market sizing vs. financial-model scenarios · sources cited inline</t>
  </si>
  <si>
    <t xml:space="preserve">MARKET FUNNEL (annual, US)</t>
  </si>
  <si>
    <t xml:space="preserve">CDC/NCHS, Births in the US 2024 (final): 3,628,934</t>
  </si>
  <si>
    <t xml:space="preserve">Breastfeeding initiation rate</t>
  </si>
  <si>
    <t xml:space="preserve">CDC NIS-Child, birth yr 2022 — 'ever breastfed' ~83% (natl blend of 82.4%–92.2% subgroups)</t>
  </si>
  <si>
    <t xml:space="preserve">Breastfeeding mothers / yr (TAM pop.)</t>
  </si>
  <si>
    <t xml:space="preserve">Serviceable clinical population</t>
  </si>
  <si>
    <t xml:space="preserve">Digital-reachable share (smartphone/app)</t>
  </si>
  <si>
    <t xml:space="preserve">Assumption — near-universal smartphone use among new mothers; validate</t>
  </si>
  <si>
    <t xml:space="preserve">Willing-to-pay for paid lactation app</t>
  </si>
  <si>
    <t xml:space="preserve">ASSUMPTION — ties to WTP study (Missing Inputs #10); placeholder 30%</t>
  </si>
  <si>
    <t xml:space="preserve">SAM population / yr</t>
  </si>
  <si>
    <t xml:space="preserve">Digital + willing-to-pay narrowing</t>
  </si>
  <si>
    <t xml:space="preserve">One-time price ($)</t>
  </si>
  <si>
    <t xml:space="preserve">Link → Assumptions</t>
  </si>
  <si>
    <t xml:space="preserve">TAM ($ / yr)</t>
  </si>
  <si>
    <t xml:space="preserve">Breastfeeding mothers × price</t>
  </si>
  <si>
    <t xml:space="preserve">SAM ($ / yr)</t>
  </si>
  <si>
    <t xml:space="preserve">SAM pop × price</t>
  </si>
  <si>
    <t xml:space="preserve">SCENARIO PENETRATION (from financial model)</t>
  </si>
  <si>
    <t xml:space="preserve">Annual run-rate (M18×12)</t>
  </si>
  <si>
    <t xml:space="preserve">% of TAM pop (cum)</t>
  </si>
  <si>
    <t xml:space="preserve">% of SAM pop (cum)</t>
  </si>
  <si>
    <t xml:space="preserve">% of TAM pop (annual run-rate)</t>
  </si>
  <si>
    <t xml:space="preserve">LATCHED — PAYER / SPONSORED SCENARIO (ALTERNATIVE MODEL)</t>
  </si>
  <si>
    <t xml:space="preserve">SELF-CONTAINED — does not feed the B2C/referral model.</t>
  </si>
  <si>
    <t xml:space="preserve">SCOPE: 12-month journey (milk → solids), one purchase per birth. NOT a subscription.</t>
  </si>
  <si>
    <t xml:space="preserve">KEY DISTINCTION: the MEMBER is one-time (a birth doesn't renew). The CONTRACT is recurring (sponsor has a new birth cohort every year).</t>
  </si>
  <si>
    <t xml:space="preserve">A. MEMBER ECONOMICS — ONE-TIME PER BIRTH (non-recurring)</t>
  </si>
  <si>
    <t xml:space="preserve">Consumer price — hybrid subsidy ($)</t>
  </si>
  <si>
    <t xml:space="preserve">Target palatable price</t>
  </si>
  <si>
    <t xml:space="preserve">Sponsor subsidy per member ($)</t>
  </si>
  <si>
    <t xml:space="preserve">Balance of list price</t>
  </si>
  <si>
    <t xml:space="preserve">Blended realized price ($)</t>
  </si>
  <si>
    <t xml:space="preserve">Equals list price at parity</t>
  </si>
  <si>
    <t xml:space="preserve">Consumer CAC when fully sponsored ($)</t>
  </si>
  <si>
    <t xml:space="preserve">Sponsor IS the distribution → CAC ≈ 0</t>
  </si>
  <si>
    <t xml:space="preserve">Member LTV — sponsored (one-time)</t>
  </si>
  <si>
    <t xml:space="preserve">NO renewal. Journey ends at ~12 months.</t>
  </si>
  <si>
    <t xml:space="preserve">B. CONTRACT ECONOMICS — RECURRING (annual birth cohort renews)</t>
  </si>
  <si>
    <t xml:space="preserve">Covered births per contract / year</t>
  </si>
  <si>
    <t xml:space="preserve">Sponsor's annual birth cohort — refreshes every year</t>
  </si>
  <si>
    <t xml:space="preserve">Engagement / activation rate</t>
  </si>
  <si>
    <t xml:space="preserve">Share of cohort that activates</t>
  </si>
  <si>
    <t xml:space="preserve">Platform fee per contract / year ($)</t>
  </si>
  <si>
    <t xml:space="preserve">Maven benchmark: $20–40K</t>
  </si>
  <si>
    <t xml:space="preserve">Contract annual renewal rate</t>
  </si>
  <si>
    <t xml:space="preserve">Enterprise SaaS-typical</t>
  </si>
  <si>
    <t xml:space="preserve">Expected contract life</t>
  </si>
  <si>
    <t xml:space="preserve">Computed as 1/(1-renewal rate)</t>
  </si>
  <si>
    <t xml:space="preserve">Contracts signed — Year 1</t>
  </si>
  <si>
    <t xml:space="preserve">GROWTH LEVER</t>
  </si>
  <si>
    <t xml:space="preserve">C. SPONSOR FEE PER COVERED BIRTH — RANGE</t>
  </si>
  <si>
    <t xml:space="preserve">Maven benchmark: $700–950 per enrolled member/yr. Latched is a focused point-solution → priced well below.</t>
  </si>
  <si>
    <t xml:space="preserve">Fee per birth</t>
  </si>
  <si>
    <t xml:space="preserve">Engaged members/contract</t>
  </si>
  <si>
    <t xml:space="preserve">Per-member rev/contract</t>
  </si>
  <si>
    <t xml:space="preserve">Contract ARR (annual, recurring)</t>
  </si>
  <si>
    <t xml:space="preserve">Contract LTV (ARR × life)</t>
  </si>
  <si>
    <t xml:space="preserve">Year-1 revenue (all contracts)</t>
  </si>
  <si>
    <t xml:space="preserve">% of Maven low end ($700)</t>
  </si>
  <si>
    <t xml:space="preserve">D. ROUTE COMPARISON — MEMBER-LEVEL UNIT ECONOMICS (one-time)</t>
  </si>
  <si>
    <t xml:space="preserve">Route</t>
  </si>
  <si>
    <t xml:space="preserve">Consumer pays</t>
  </si>
  <si>
    <t xml:space="preserve">Sponsor pays</t>
  </si>
  <si>
    <t xml:space="preserve">Net rev / member</t>
  </si>
  <si>
    <t xml:space="preserve">CAC</t>
  </si>
  <si>
    <t xml:space="preserve">LTV:CAC</t>
  </si>
  <si>
    <t xml:space="preserve">Recurring?</t>
  </si>
  <si>
    <t xml:space="preserve">Notes</t>
  </si>
  <si>
    <t xml:space="preserve">B2C control ($49 one-time)</t>
  </si>
  <si>
    <t xml:space="preserve">0</t>
  </si>
  <si>
    <t xml:space="preserve">No — member one-time</t>
  </si>
  <si>
    <t xml:space="preserve">Current model. Thin economics.</t>
  </si>
  <si>
    <t xml:space="preserve">Hybrid subsidy</t>
  </si>
  <si>
    <t xml:space="preserve">Bridge. Halves CAC, ~2x LTV:CAC.</t>
  </si>
  <si>
    <t xml:space="preserve">Employer sponsored (per birth)</t>
  </si>
  <si>
    <t xml:space="preserve">CONTRACT recurs annually</t>
  </si>
  <si>
    <t xml:space="preserve">CAC→0. Contract renews on new cohort.</t>
  </si>
  <si>
    <t xml:space="preserve">Health plan / MCO (per birth)</t>
  </si>
  <si>
    <t xml:space="preserve">Largest scale, 12–18mo cycle.</t>
  </si>
  <si>
    <t xml:space="preserve">E. WHAT ONE CONTRACT IS WORTH (vs. IBCLC referral engine)</t>
  </si>
  <si>
    <t xml:space="preserve">Engaged members — Year 1 (all contracts)</t>
  </si>
  <si>
    <t xml:space="preserve">Equivalent IBCLC partners needed</t>
  </si>
  <si>
    <t xml:space="preserve">to match, over a year</t>
  </si>
  <si>
    <t xml:space="preserve">Months of partner-onboarding replaced</t>
  </si>
  <si>
    <t xml:space="preserve">at base 5 partners/mo</t>
  </si>
  <si>
    <t xml:space="preserve">UNIT ECONOMICS</t>
  </si>
  <si>
    <t xml:space="preserve">Value</t>
  </si>
  <si>
    <t xml:space="preserve">Alt/Range</t>
  </si>
  <si>
    <t xml:space="preserve">REVENUE PER USER</t>
  </si>
  <si>
    <t xml:space="preserve">Gross price per user</t>
  </si>
  <si>
    <t xml:space="preserve">Source: PRD v0.9 / mvp-experience-spec</t>
  </si>
  <si>
    <t xml:space="preserve">Stripe fee per transaction</t>
  </si>
  <si>
    <t xml:space="preserve">2.9% × $49 + $0.30 = ~$1.72</t>
  </si>
  <si>
    <t xml:space="preserve">Net revenue per user (after Stripe)</t>
  </si>
  <si>
    <t xml:space="preserve">~$47.28 per paid user</t>
  </si>
  <si>
    <t xml:space="preserve">COST PER USER (VARIABLE)</t>
  </si>
  <si>
    <t xml:space="preserve">LLM cost per user (15-month journey)</t>
  </si>
  <si>
    <t xml:space="preserve">Requires: queries/user/week in Assumptions</t>
  </si>
  <si>
    <t xml:space="preserve">GROSS MARGIN PER USER</t>
  </si>
  <si>
    <t xml:space="preserve">Gross margin per user</t>
  </si>
  <si>
    <t xml:space="preserve">Gross margin % per user</t>
  </si>
  <si>
    <t xml:space="preserve">CUSTOMER ACQUISITION COST (CAC)</t>
  </si>
  <si>
    <t xml:space="preserve">B2C CAC — target/base ($)</t>
  </si>
  <si>
    <t xml:space="preserve">Source: PRD v0.9 — target &lt;$30; Meta benchmark $30-80</t>
  </si>
  <si>
    <t xml:space="preserve">B2C CAC — high scenario ($)</t>
  </si>
  <si>
    <t xml:space="preserve">Fill in Assumptions sheet — conservative scenario</t>
  </si>
  <si>
    <t xml:space="preserve">Fill in: printing + outreach + IBCLC onboarding cost per referred user</t>
  </si>
  <si>
    <t xml:space="preserve">Blended CAC (40% B2B2C / 60% B2C)</t>
  </si>
  <si>
    <t xml:space="preserve">Fill B2B2C CAC to unlock this. B2C CAC = $30 base.</t>
  </si>
  <si>
    <t xml:space="preserve">LTV &amp; PAYBACK</t>
  </si>
  <si>
    <t xml:space="preserve">LTV (one-time; no expansion revenue in v1)</t>
  </si>
  <si>
    <t xml:space="preserve">LTV = net revenue per user. One-time purchase, no upsell in v1.</t>
  </si>
  <si>
    <t xml:space="preserve">LTV:CAC (B2C base case)</t>
  </si>
  <si>
    <t xml:space="preserve">Target &gt;3x for sustainable paid acquisition</t>
  </si>
  <si>
    <t xml:space="preserve">Payback period — B2C (months)</t>
  </si>
  <si>
    <t xml:space="preserve">One-time purchase: payback is instant if CAC &lt; net revenue/user</t>
  </si>
  <si>
    <t xml:space="preserve">PRICE SENSITIVITY — 12-MONTH SCOPE</t>
  </si>
  <si>
    <t xml:space="preserve">One-time purchase per birth, 15-month journey. NOT a subscription — no renewal within a journey.</t>
  </si>
  <si>
    <t xml:space="preserve">Price</t>
  </si>
  <si>
    <t xml:space="preserve">Net rev/user (after refunds+Stripe)</t>
  </si>
  <si>
    <t xml:space="preserve">LLM cost/user</t>
  </si>
  <si>
    <t xml:space="preserve">Gross margin %</t>
  </si>
  <si>
    <t xml:space="preserve">LTV:CAC — B2C ($30)</t>
  </si>
  <si>
    <t xml:space="preserve">LTV:CAC — B2B2C ($10)</t>
  </si>
  <si>
    <t xml:space="preserve">MISSING INPUTS — PRIORITY ORDER</t>
  </si>
  <si>
    <t xml:space="preserve">Input / Figure Needed</t>
  </si>
  <si>
    <t xml:space="preserve">Where Used</t>
  </si>
  <si>
    <t xml:space="preserve">Est. Time to Get</t>
  </si>
  <si>
    <t xml:space="preserve">Notes / Source Suggestion</t>
  </si>
  <si>
    <t xml:space="preserve">Monthly growth rate post-M7 (%)</t>
  </si>
  <si>
    <t xml:space="preserve">Revenue — new signups M8-M18</t>
  </si>
  <si>
    <t xml:space="preserve">1 hour</t>
  </si>
  <si>
    <t xml:space="preserve">Benchmark: 15-25%/month for early consumer apps. Set 20% base case. Validate after 60 days live.</t>
  </si>
  <si>
    <t xml:space="preserve">Monthly paid marketing budget post-launch ($)</t>
  </si>
  <si>
    <t xml:space="preserve">OpEx — Marketing; CAC calculation</t>
  </si>
  <si>
    <t xml:space="preserve">1-2 hours</t>
  </si>
  <si>
    <t xml:space="preserve">Start with $500-1,000/month to test Meta/Instagram. Adjust after first 30 days.</t>
  </si>
  <si>
    <t xml:space="preserve">Smart-FAQ queries per user per week</t>
  </si>
  <si>
    <t xml:space="preserve">COGS — LLM cost; Unit Economics</t>
  </si>
  <si>
    <t xml:space="preserve">From UX spec / usage assumption</t>
  </si>
  <si>
    <t xml:space="preserve">Estimate 3-5 queries/week while building. Validate with pilot users. Low impact on COGS at v1 scale.</t>
  </si>
  <si>
    <t xml:space="preserve">B2B2C CAC — cost per referred user ($)</t>
  </si>
  <si>
    <t xml:space="preserve">Unit Economics — blended CAC</t>
  </si>
  <si>
    <t xml:space="preserve">2-4 hours</t>
  </si>
  <si>
    <t xml:space="preserve">Estimate: printing ($0.50/card) + IBCLC onboarding time. Likely $5-15/referred user if mostly organic.</t>
  </si>
  <si>
    <t xml:space="preserve">B2C CAC — high/conservative scenario ($)</t>
  </si>
  <si>
    <t xml:space="preserve">Unit Economics — scenario analysis</t>
  </si>
  <si>
    <t xml:space="preserve">30 min</t>
  </si>
  <si>
    <t xml:space="preserve">Use Meta benchmark: $50-80 conservative. Fill in Assumptions!D (high column).</t>
  </si>
  <si>
    <t xml:space="preserve">OpEx — People</t>
  </si>
  <si>
    <t xml:space="preserve">Your call</t>
  </si>
  <si>
    <t xml:space="preserve">If bootstrapping: $0. If drawing salary: enter amount. Key for burn rate / runway calc.</t>
  </si>
  <si>
    <t xml:space="preserve">IBCLC design partner outreach cost/month ($)</t>
  </si>
  <si>
    <t xml:space="preserve">OpEx — Marketing; B2B2C CAC</t>
  </si>
  <si>
    <t xml:space="preserve">Est: printed cards + shipping ~$50-100/month. Outreach time is sweat equity at this stage.</t>
  </si>
  <si>
    <t xml:space="preserve">Supabase upgrade threshold (# users)</t>
  </si>
  <si>
    <t xml:space="preserve">COGS — Supabase tier</t>
  </si>
  <si>
    <t xml:space="preserve">Supabase free: 500MB DB, 1GB storage, 50K MAU. Upgrade to Pro ($25/mo) likely at 200-500 users.</t>
  </si>
  <si>
    <t xml:space="preserve">Printable ruler accuracy test incentive ($ × 15 moms)</t>
  </si>
  <si>
    <t xml:space="preserve">OpEx — Phase 0 research</t>
  </si>
  <si>
    <t xml:space="preserve">If $20/mom: $300 total. Schedule per ACTION-ITEMS.md.</t>
  </si>
  <si>
    <t xml:space="preserve">WTP validation study cost ($)</t>
  </si>
  <si>
    <t xml:space="preserve">Wizard-of-Oz test — likely $0 if done manually. Add any ad spend to drive traffic.</t>
  </si>
  <si>
    <t xml:space="preserve">Legal costs — privacy policy / advisor agreement ($)</t>
  </si>
  <si>
    <t xml:space="preserve">OpEx — Phase 0 one-time</t>
  </si>
  <si>
    <t xml:space="preserve">1-2 hours research</t>
  </si>
  <si>
    <t xml:space="preserve">DIY via Termly/Iubenda ~$0-$180/yr. Lawyer review: $500-1,500. Prioritize before any data collection.</t>
  </si>
  <si>
    <t xml:space="preserve">Revenue — B2B2C signups scaling</t>
  </si>
  <si>
    <t xml:space="preserve">From pilot data</t>
  </si>
  <si>
    <t xml:space="preserve">IBCLCs see 5-15 patients/day. Estimate 2-5 referrals/month per partner conservatively.</t>
  </si>
  <si>
    <t xml:space="preserve">IBCLC advisor — ongoing monthly hours (post-launch)</t>
  </si>
  <si>
    <t xml:space="preserve">OpEx — Advisor fees ongoing</t>
  </si>
  <si>
    <t xml:space="preserve">Negotiate with advisor</t>
  </si>
  <si>
    <t xml:space="preserve">Likely 4-8 hrs/month for batch FAQ reviews. At $75-150/hr: $300-1,200/month.</t>
  </si>
  <si>
    <t xml:space="preserve">Other SaaS / misc monthly tools ($)</t>
  </si>
  <si>
    <t xml:space="preserve">OpEx — G&amp;A</t>
  </si>
  <si>
    <t xml:space="preserve">Domain ~$1/mo, Figma free, Google Workspace ~$6-12/mo, misc. Est $15-30/month.</t>
  </si>
  <si>
    <t xml:space="preserve">Contractor / freelance monthly budget ($)</t>
  </si>
  <si>
    <t xml:space="preserve">Design, copy, or dev help. $0 if doing everything yourself; $500-2,000/month if using contractors.</t>
  </si>
  <si>
    <t xml:space="preserve">Lovable Pro / prototype build cost ($)</t>
  </si>
  <si>
    <t xml:space="preserve">Check Lovable pricing</t>
  </si>
  <si>
    <t xml:space="preserve">Lovable Pro ~$25-50/month. Budget one month for prototype per ACTION-ITEMS.md Experiment 3.</t>
  </si>
  <si>
    <t xml:space="preserve">IBCLC advisor equity % (if equity route)</t>
  </si>
  <si>
    <t xml:space="preserve">Cap table (not in P&amp;L)</t>
  </si>
  <si>
    <t xml:space="preserve">Range: 0.25-0.5% per ACTION-ITEMS.md. Not a cash cost but affects cap table.</t>
  </si>
  <si>
    <t xml:space="preserve">CHANGE LOG — v1.0 to v1.1</t>
  </si>
  <si>
    <t xml:space="preserve">Structural changes since the original v1.0 build. Read this if comparing against an older copy.</t>
  </si>
  <si>
    <t xml:space="preserve">Change</t>
  </si>
  <si>
    <t xml:space="preserve">Type</t>
  </si>
  <si>
    <t xml:space="preserve">Why</t>
  </si>
  <si>
    <t xml:space="preserve">Effect on outputs</t>
  </si>
  <si>
    <t xml:space="preserve">Filled all 17 missing inputs</t>
  </si>
  <si>
    <t xml:space="preserve">Input</t>
  </si>
  <si>
    <t xml:space="preserve">Model previously ran on blanks; revenue flatlined and burn was unmodelled.</t>
  </si>
  <si>
    <t xml:space="preserve">Breakeven M9 to M11; peak cash need -$7.4K to -$9.2K.</t>
  </si>
  <si>
    <t xml:space="preserve">Fixed LLM cost formula</t>
  </si>
  <si>
    <t xml:space="preserve">Bug fix</t>
  </si>
  <si>
    <t xml:space="preserve">COGS hardcoded 'x4 weeks' while an 'avg weeks active' cell sat disconnected. Now driver-linked.</t>
  </si>
  <si>
    <t xml:space="preserve">LLM cost/user $0.008 to $0.052 (after 12-mo scope). Margin still ~99.9%.</t>
  </si>
  <si>
    <t xml:space="preserve">Wired one-time costs into OpEx</t>
  </si>
  <si>
    <t xml:space="preserve">'Other validation costs' row was a literal '?' and was EXCLUDED from the Total OpEx sum — ruler test, Lovable and legal costs never hit cash.</t>
  </si>
  <si>
    <t xml:space="preserve">Adds $530 in M1. Cash lower but correct.</t>
  </si>
  <si>
    <t xml:space="preserve">Replaced exogenous growth % with referral engine</t>
  </si>
  <si>
    <t xml:space="preserve">Structural</t>
  </si>
  <si>
    <t xml:space="preserve">Growth was an abstract '15%/month'. Signups are now derived: B2B2C = partners x referrals x conversion; B2C = spend / CAC.</t>
  </si>
  <si>
    <t xml:space="preserve">Growth is mechanistic and defensible. M18 signups 281 to 133 (more conservative, but real).</t>
  </si>
  <si>
    <t xml:space="preserve">Scope: 6-week to 12-month journey</t>
  </si>
  <si>
    <t xml:space="preserve">Scope</t>
  </si>
  <si>
    <t xml:space="preserve">Product now spans milk establishment through solids introduction.</t>
  </si>
  <si>
    <t xml:space="preserve">Active weeks 6 to 26. Cash -$43 at M18. Justifies a higher price point.</t>
  </si>
  <si>
    <t xml:space="preserve">Added Scenarios sheet</t>
  </si>
  <si>
    <t xml:space="preserve">New</t>
  </si>
  <si>
    <t xml:space="preserve">Three cases driven by partner-onboarding rate (3/5/8 per month).</t>
  </si>
  <si>
    <t xml:space="preserve">Conservative/Base/Aggressive: breakeven M13/M12/M10.</t>
  </si>
  <si>
    <t xml:space="preserve">Added TAM sheet</t>
  </si>
  <si>
    <t xml:space="preserve">Top-down sizing against CDC data to sanity-check penetration.</t>
  </si>
  <si>
    <t xml:space="preserve">All scenarios &lt;0.3% of SAM. Market size is NOT the constraint; acquisition is.</t>
  </si>
  <si>
    <t xml:space="preserve">Added Payer Model sheet</t>
  </si>
  <si>
    <t xml:space="preserve">Models sponsored routes. SELF-CONTAINED — does not feed the B2C model.</t>
  </si>
  <si>
    <t xml:space="preserve">Contract ARR $68K-$133K; contract LTV up to ~$887K.</t>
  </si>
  <si>
    <t xml:space="preserve">Separated member LTV from contract ARR</t>
  </si>
  <si>
    <t xml:space="preserve">Correction</t>
  </si>
  <si>
    <t xml:space="preserve">Earlier framing implied a per-member subscription. A birth does not renew — the CONTRACT does, on a new annual cohort.</t>
  </si>
  <si>
    <t xml:space="preserve">No number change; the framing is now honest.</t>
  </si>
  <si>
    <t xml:space="preserve">Added Assumption Register + this log</t>
  </si>
  <si>
    <t xml:space="preserve">Governance</t>
  </si>
  <si>
    <t xml:space="preserve">Audit trail so a first-time reader can see what is data vs. what is a guess.</t>
  </si>
  <si>
    <t xml:space="preserve">None — documentation only.</t>
  </si>
  <si>
    <t xml:space="preserve">Scope: 12-month to 15-month; 4 peaks</t>
  </si>
  <si>
    <t xml:space="preserve">CDC data shows median weaning among 6-wk survivors is ~12 months — a 12-mo product would end exactly at the median weaning event. Also added return-to-work (M3-4) as a 4th peak.</t>
  </si>
  <si>
    <t xml:space="preserve">Active weeks 26 to 32. LLM cost/user $0.052 to $0.064. Strengthens the case for a $99 price.</t>
  </si>
  <si>
    <t xml:space="preserve">Added Journey Map tab</t>
  </si>
  <si>
    <t xml:space="preserve">Evidence base for scope and engagement peaks, sourced to CDC NIS-Child 2022 (n=19,309).</t>
  </si>
  <si>
    <t xml:space="preserve">None - documentation. Feeds Assumptions!C31.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</si>
</sst>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\$#,##0"/>
    <numFmt numFmtId="166" formatCode="0%"/>
    <numFmt numFmtId="167" formatCode="0.0%"/>
    <numFmt numFmtId="168" formatCode="#,##0"/>
    <numFmt numFmtId="169" formatCode="0.00000"/>
    <numFmt numFmtId="170" formatCode="\$#,##0;&quot;($&quot;#,##0\);\-"/>
    <numFmt numFmtId="171" formatCode="0.0%;\-0.0%;\-"/>
    <numFmt numFmtId="172" formatCode="0.00%;\-0.00%;\-"/>
    <numFmt numFmtId="173" formatCode="\$#,##0.00;&quot;($&quot;#,##0.00\);\-"/>
    <numFmt numFmtId="174" formatCode="#,##0.0"/>
    <numFmt numFmtId="175" formatCode="\$#,##0.00000"/>
    <numFmt numFmtId="176" formatCode="0.000%"/>
    <numFmt numFmtId="177" formatCode="General"/>
    <numFmt numFmtId="178" formatCode="#,##0;\(#,##0\);\-"/>
    <numFmt numFmtId="179" formatCode="\$#,##0.0000"/>
    <numFmt numFmtId="180" formatCode="0.00%"/>
    <numFmt numFmtId="181" formatCode="\$#,##0.00"/>
    <numFmt numFmtId="182" formatCode="0.0&quot; yrs&quot;"/>
    <numFmt numFmtId="183" formatCode="0.00\x"/>
    <numFmt numFmtId="184" formatCode="0.0\x"/>
    <numFmt numFmtId="185" formatCode="0.0"/>
  </numFmts>
  <fonts count="6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D5B8E"/>
      <name val="Arial"/>
      <family val="0"/>
      <charset val="1"/>
    </font>
    <font>
      <i val="true"/>
      <sz val="13"/>
      <color rgb="FF555555"/>
      <name val="Arial"/>
      <family val="0"/>
      <charset val="1"/>
    </font>
    <font>
      <sz val="10"/>
      <color rgb="FF777777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1"/>
      <color rgb="FF2D5B8E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9C6500"/>
      <name val="Arial"/>
      <family val="0"/>
      <charset val="1"/>
    </font>
    <font>
      <sz val="9"/>
      <color rgb="FF9C65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74706"/>
      <name val="Arial"/>
      <family val="0"/>
      <charset val="1"/>
    </font>
    <font>
      <b val="true"/>
      <sz val="13"/>
      <color rgb="FF2D5B8E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FFFFFF"/>
      <name val="Cambria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4"/>
      <color rgb="FFC55A11"/>
      <name val="Arial"/>
      <family val="0"/>
      <charset val="1"/>
    </font>
    <font>
      <b val="true"/>
      <sz val="9"/>
      <color rgb="FFC55A11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9"/>
      <color rgb="FF55555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FEB9C"/>
        <bgColor rgb="FFFFD9B3"/>
      </patternFill>
    </fill>
    <fill>
      <patternFill patternType="solid">
        <fgColor rgb="FFC6EFCE"/>
        <bgColor rgb="FFD9E1F2"/>
      </patternFill>
    </fill>
    <fill>
      <patternFill patternType="solid">
        <fgColor rgb="FFFFD9B3"/>
        <bgColor rgb="FFFCE4D6"/>
      </patternFill>
    </fill>
    <fill>
      <patternFill patternType="solid">
        <fgColor rgb="FFFFC7CE"/>
        <bgColor rgb="FFFFD9B3"/>
      </patternFill>
    </fill>
    <fill>
      <patternFill patternType="solid">
        <fgColor rgb="FF2F5496"/>
        <bgColor rgb="FF2D5B8E"/>
      </patternFill>
    </fill>
    <fill>
      <patternFill patternType="solid">
        <fgColor rgb="FF2D5B8E"/>
        <bgColor rgb="FF2F5496"/>
      </patternFill>
    </fill>
    <fill>
      <patternFill patternType="solid">
        <fgColor rgb="FFD9E1F2"/>
        <bgColor rgb="FFC6EFCE"/>
      </patternFill>
    </fill>
    <fill>
      <patternFill patternType="solid">
        <fgColor rgb="FFC55A11"/>
        <bgColor rgb="FF9C6500"/>
      </patternFill>
    </fill>
    <fill>
      <patternFill patternType="solid">
        <fgColor rgb="FFFCE4D6"/>
        <bgColor rgb="FFFFF2CC"/>
      </patternFill>
    </fill>
    <fill>
      <patternFill patternType="solid">
        <fgColor rgb="FF777777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3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8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8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8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8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3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3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3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3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4" fontId="3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FFC7CE"/>
      <rgbColor rgb="FF808080"/>
      <rgbColor rgb="FF9999FF"/>
      <rgbColor rgb="FF993366"/>
      <rgbColor rgb="FFFFF2CC"/>
      <rgbColor rgb="FFFCE4D6"/>
      <rgbColor rgb="FF660066"/>
      <rgbColor rgb="FFFF8080"/>
      <rgbColor rgb="FF2D5B8E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C55A11"/>
      <rgbColor rgb="FF777777"/>
      <rgbColor rgb="FF969696"/>
      <rgbColor rgb="FF1F3864"/>
      <rgbColor rgb="FF339966"/>
      <rgbColor rgb="FF006100"/>
      <rgbColor rgb="FF555555"/>
      <rgbColor rgb="FF974706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2"/>
    <col collapsed="false" customWidth="true" hidden="false" outlineLevel="0" max="3" min="3" style="1" width="58"/>
  </cols>
  <sheetData>
    <row r="2" customFormat="false" ht="26.25" hidden="false" customHeight="true" outlineLevel="0" collapsed="false">
      <c r="B2" s="2" t="s">
        <v>0</v>
      </c>
    </row>
    <row r="3" customFormat="false" ht="15.7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</row>
    <row r="9" customFormat="false" ht="15" hidden="false" customHeight="true" outlineLevel="0" collapsed="false">
      <c r="B9" s="6" t="s">
        <v>4</v>
      </c>
    </row>
    <row r="10" customFormat="false" ht="15" hidden="false" customHeight="true" outlineLevel="0" collapsed="false">
      <c r="B10" s="7" t="s">
        <v>5</v>
      </c>
      <c r="C10" s="8" t="s">
        <v>6</v>
      </c>
    </row>
    <row r="11" customFormat="false" ht="15" hidden="false" customHeight="true" outlineLevel="0" collapsed="false">
      <c r="B11" s="7" t="s">
        <v>7</v>
      </c>
      <c r="C11" s="8" t="s">
        <v>8</v>
      </c>
    </row>
    <row r="12" customFormat="false" ht="15" hidden="false" customHeight="true" outlineLevel="0" collapsed="false">
      <c r="B12" s="7" t="s">
        <v>9</v>
      </c>
      <c r="C12" s="8" t="s">
        <v>10</v>
      </c>
    </row>
    <row r="13" customFormat="false" ht="15" hidden="false" customHeight="true" outlineLevel="0" collapsed="false">
      <c r="B13" s="7" t="s">
        <v>11</v>
      </c>
      <c r="C13" s="8" t="s">
        <v>12</v>
      </c>
    </row>
    <row r="14" customFormat="false" ht="15" hidden="false" customHeight="true" outlineLevel="0" collapsed="false">
      <c r="B14" s="7" t="s">
        <v>13</v>
      </c>
      <c r="C14" s="8" t="s">
        <v>14</v>
      </c>
    </row>
    <row r="15" customFormat="false" ht="15" hidden="false" customHeight="true" outlineLevel="0" collapsed="false">
      <c r="B15" s="7" t="s">
        <v>15</v>
      </c>
      <c r="C15" s="8" t="s">
        <v>16</v>
      </c>
    </row>
    <row r="16" customFormat="false" ht="15" hidden="false" customHeight="true" outlineLevel="0" collapsed="false">
      <c r="B16" s="7" t="s">
        <v>17</v>
      </c>
      <c r="C16" s="8" t="s">
        <v>18</v>
      </c>
    </row>
    <row r="18" customFormat="false" ht="15" hidden="false" customHeight="true" outlineLevel="0" collapsed="false">
      <c r="B18" s="6" t="s">
        <v>19</v>
      </c>
    </row>
    <row r="19" customFormat="false" ht="15" hidden="false" customHeight="true" outlineLevel="0" collapsed="false">
      <c r="B19" s="9" t="s">
        <v>20</v>
      </c>
    </row>
    <row r="20" customFormat="false" ht="15" hidden="false" customHeight="true" outlineLevel="0" collapsed="false">
      <c r="B20" s="8" t="s">
        <v>21</v>
      </c>
    </row>
    <row r="21" customFormat="false" ht="15" hidden="false" customHeight="true" outlineLevel="0" collapsed="false">
      <c r="B21" s="10" t="s">
        <v>22</v>
      </c>
    </row>
    <row r="22" customFormat="false" ht="15" hidden="false" customHeight="true" outlineLevel="0" collapsed="false">
      <c r="B22" s="11" t="s">
        <v>23</v>
      </c>
    </row>
    <row r="23" customFormat="false" ht="15" hidden="false" customHeight="true" outlineLevel="0" collapsed="false">
      <c r="B23" s="12" t="s">
        <v>24</v>
      </c>
    </row>
    <row r="26" customFormat="false" ht="15.75" hidden="false" customHeight="true" outlineLevel="0" collapsed="false">
      <c r="B26" s="13" t="s">
        <v>25</v>
      </c>
    </row>
    <row r="27" customFormat="false" ht="15" hidden="false" customHeight="true" outlineLevel="0" collapsed="false">
      <c r="B27" s="14" t="s">
        <v>26</v>
      </c>
    </row>
    <row r="29" customFormat="false" ht="15" hidden="false" customHeight="true" outlineLevel="0" collapsed="false">
      <c r="B29" s="15" t="s">
        <v>27</v>
      </c>
    </row>
    <row r="30" customFormat="false" ht="15" hidden="false" customHeight="true" outlineLevel="0" collapsed="false">
      <c r="B30" s="16" t="s">
        <v>28</v>
      </c>
    </row>
    <row r="31" customFormat="false" ht="15" hidden="false" customHeight="true" outlineLevel="0" collapsed="false">
      <c r="B31" s="16" t="s">
        <v>29</v>
      </c>
    </row>
    <row r="33" customFormat="false" ht="15" hidden="false" customHeight="true" outlineLevel="0" collapsed="false">
      <c r="B33" s="15" t="s">
        <v>30</v>
      </c>
    </row>
    <row r="34" customFormat="false" ht="15" hidden="false" customHeight="true" outlineLevel="0" collapsed="false">
      <c r="B34" s="16" t="s">
        <v>31</v>
      </c>
    </row>
    <row r="35" customFormat="false" ht="15" hidden="false" customHeight="true" outlineLevel="0" collapsed="false">
      <c r="B35" s="16" t="s">
        <v>32</v>
      </c>
    </row>
    <row r="36" customFormat="false" ht="15" hidden="false" customHeight="true" outlineLevel="0" collapsed="false">
      <c r="B36" s="14" t="s">
        <v>33</v>
      </c>
    </row>
    <row r="38" customFormat="false" ht="15" hidden="false" customHeight="true" outlineLevel="0" collapsed="false">
      <c r="B38" s="15" t="s">
        <v>34</v>
      </c>
    </row>
    <row r="39" customFormat="false" ht="15" hidden="false" customHeight="true" outlineLevel="0" collapsed="false">
      <c r="B39" s="16" t="s">
        <v>35</v>
      </c>
    </row>
    <row r="40" customFormat="false" ht="15" hidden="false" customHeight="true" outlineLevel="0" collapsed="false">
      <c r="B40" s="16" t="s">
        <v>36</v>
      </c>
    </row>
    <row r="41" customFormat="false" ht="15" hidden="false" customHeight="true" outlineLevel="0" collapsed="false">
      <c r="B41" s="16" t="s">
        <v>37</v>
      </c>
    </row>
    <row r="42" customFormat="false" ht="15" hidden="false" customHeight="true" outlineLevel="0" collapsed="false">
      <c r="B42" s="16" t="s">
        <v>38</v>
      </c>
    </row>
    <row r="44" customFormat="false" ht="15" hidden="false" customHeight="true" outlineLevel="0" collapsed="false">
      <c r="B44" s="15" t="s">
        <v>39</v>
      </c>
    </row>
    <row r="45" customFormat="false" ht="15" hidden="false" customHeight="true" outlineLevel="0" collapsed="false">
      <c r="B45" s="17" t="s">
        <v>40</v>
      </c>
      <c r="C45" s="16" t="s">
        <v>41</v>
      </c>
    </row>
    <row r="46" customFormat="false" ht="15" hidden="false" customHeight="true" outlineLevel="0" collapsed="false">
      <c r="B46" s="16" t="s">
        <v>42</v>
      </c>
      <c r="C46" s="16" t="s">
        <v>43</v>
      </c>
    </row>
    <row r="47" customFormat="false" ht="15" hidden="false" customHeight="true" outlineLevel="0" collapsed="false">
      <c r="B47" s="18" t="s">
        <v>44</v>
      </c>
      <c r="C47" s="16" t="s">
        <v>45</v>
      </c>
    </row>
    <row r="48" customFormat="false" ht="15" hidden="false" customHeight="true" outlineLevel="0" collapsed="false">
      <c r="B48" s="19" t="s">
        <v>46</v>
      </c>
      <c r="C48" s="16" t="s">
        <v>47</v>
      </c>
    </row>
    <row r="50" customFormat="false" ht="15" hidden="false" customHeight="true" outlineLevel="0" collapsed="false">
      <c r="B50" s="20" t="s">
        <v>48</v>
      </c>
    </row>
    <row r="51" customFormat="false" ht="15" hidden="false" customHeight="true" outlineLevel="0" collapsed="false">
      <c r="B51" s="16" t="s">
        <v>49</v>
      </c>
    </row>
    <row r="52" customFormat="false" ht="15" hidden="false" customHeight="true" outlineLevel="0" collapsed="false">
      <c r="B52" s="16" t="s">
        <v>50</v>
      </c>
    </row>
    <row r="53" customFormat="false" ht="15" hidden="false" customHeight="true" outlineLevel="0" collapsed="false">
      <c r="B53" s="16" t="s">
        <v>51</v>
      </c>
    </row>
    <row r="54" customFormat="false" ht="15" hidden="false" customHeight="true" outlineLevel="0" collapsed="false">
      <c r="B54" s="16" t="s">
        <v>52</v>
      </c>
    </row>
    <row r="55" customFormat="false" ht="15" hidden="false" customHeight="true" outlineLevel="0" collapsed="false">
      <c r="B55" s="16" t="s">
        <v>53</v>
      </c>
    </row>
    <row r="57" customFormat="false" ht="15" hidden="false" customHeight="true" outlineLevel="0" collapsed="false">
      <c r="B57" s="15" t="s">
        <v>54</v>
      </c>
    </row>
    <row r="58" customFormat="false" ht="15" hidden="false" customHeight="true" outlineLevel="0" collapsed="false">
      <c r="B58" s="21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6"/>
    <col collapsed="false" customWidth="true" hidden="false" outlineLevel="0" max="3" min="3" style="1" width="18"/>
    <col collapsed="false" customWidth="true" hidden="false" outlineLevel="0" max="4" min="4" style="1" width="30"/>
    <col collapsed="false" customWidth="true" hidden="false" outlineLevel="0" max="5" min="5" style="1" width="12"/>
    <col collapsed="false" customWidth="true" hidden="false" outlineLevel="0" max="7" min="6" style="1" width="13"/>
    <col collapsed="false" customWidth="true" hidden="false" outlineLevel="0" max="8" min="8" style="1" width="32"/>
    <col collapsed="false" customWidth="true" hidden="false" outlineLevel="0" max="9" min="9" style="1" width="64"/>
    <col collapsed="false" customWidth="true" hidden="false" outlineLevel="0" max="10" min="10" style="1" width="18"/>
  </cols>
  <sheetData>
    <row r="1" customFormat="false" ht="18" hidden="false" customHeight="true" outlineLevel="0" collapsed="false">
      <c r="B1" s="22" t="s">
        <v>56</v>
      </c>
    </row>
    <row r="2" customFormat="false" ht="15" hidden="false" customHeight="true" outlineLevel="0" collapsed="false">
      <c r="B2" s="23" t="s">
        <v>57</v>
      </c>
    </row>
    <row r="3" customFormat="false" ht="15" hidden="false" customHeight="true" outlineLevel="0" collapsed="false">
      <c r="B3" s="24" t="s">
        <v>58</v>
      </c>
    </row>
    <row r="5" customFormat="false" ht="26.25" hidden="false" customHeight="true" outlineLevel="0" collapsed="false">
      <c r="B5" s="25" t="s">
        <v>59</v>
      </c>
      <c r="C5" s="25" t="s">
        <v>60</v>
      </c>
      <c r="D5" s="25" t="s">
        <v>61</v>
      </c>
      <c r="E5" s="25" t="s">
        <v>62</v>
      </c>
      <c r="F5" s="25" t="s">
        <v>63</v>
      </c>
      <c r="G5" s="25" t="s">
        <v>64</v>
      </c>
      <c r="H5" s="25" t="s">
        <v>65</v>
      </c>
      <c r="I5" s="25" t="s">
        <v>66</v>
      </c>
      <c r="J5" s="25" t="s">
        <v>67</v>
      </c>
    </row>
    <row r="6" customFormat="false" ht="30" hidden="false" customHeight="true" outlineLevel="0" collapsed="false">
      <c r="B6" s="26" t="s">
        <v>68</v>
      </c>
      <c r="C6" s="27" t="s">
        <v>69</v>
      </c>
      <c r="D6" s="28" t="s">
        <v>70</v>
      </c>
      <c r="E6" s="29" t="n">
        <f aca="false">Assumptions!C4</f>
        <v>49</v>
      </c>
      <c r="F6" s="30" t="s">
        <v>71</v>
      </c>
      <c r="G6" s="31" t="s">
        <v>72</v>
      </c>
      <c r="H6" s="28" t="s">
        <v>73</v>
      </c>
      <c r="I6" s="32" t="s">
        <v>74</v>
      </c>
      <c r="J6" s="33" t="s">
        <v>75</v>
      </c>
    </row>
    <row r="7" customFormat="false" ht="30" hidden="false" customHeight="true" outlineLevel="0" collapsed="false">
      <c r="B7" s="26" t="s">
        <v>76</v>
      </c>
      <c r="C7" s="27" t="s">
        <v>77</v>
      </c>
      <c r="D7" s="28" t="s">
        <v>78</v>
      </c>
      <c r="E7" s="34" t="n">
        <f aca="false">Assumptions!C6</f>
        <v>0.1</v>
      </c>
      <c r="F7" s="30" t="s">
        <v>71</v>
      </c>
      <c r="G7" s="35" t="s">
        <v>79</v>
      </c>
      <c r="H7" s="28" t="s">
        <v>80</v>
      </c>
      <c r="I7" s="32" t="s">
        <v>81</v>
      </c>
      <c r="J7" s="33" t="s">
        <v>82</v>
      </c>
    </row>
    <row r="8" customFormat="false" ht="30" hidden="false" customHeight="true" outlineLevel="0" collapsed="false">
      <c r="B8" s="26" t="s">
        <v>83</v>
      </c>
      <c r="C8" s="27" t="s">
        <v>84</v>
      </c>
      <c r="D8" s="28" t="s">
        <v>85</v>
      </c>
      <c r="E8" s="36" t="n">
        <f aca="false">Assumptions!C10</f>
        <v>0.029</v>
      </c>
      <c r="F8" s="37" t="s">
        <v>86</v>
      </c>
      <c r="G8" s="33" t="s">
        <v>87</v>
      </c>
      <c r="H8" s="28" t="s">
        <v>88</v>
      </c>
      <c r="I8" s="32" t="s">
        <v>89</v>
      </c>
      <c r="J8" s="33" t="s">
        <v>90</v>
      </c>
    </row>
    <row r="9" customFormat="false" ht="30" hidden="false" customHeight="true" outlineLevel="0" collapsed="false">
      <c r="B9" s="26" t="s">
        <v>91</v>
      </c>
      <c r="C9" s="27" t="s">
        <v>92</v>
      </c>
      <c r="D9" s="28" t="s">
        <v>93</v>
      </c>
      <c r="E9" s="29" t="n">
        <f aca="false">Assumptions!C14</f>
        <v>30</v>
      </c>
      <c r="F9" s="30" t="s">
        <v>71</v>
      </c>
      <c r="G9" s="31" t="s">
        <v>72</v>
      </c>
      <c r="H9" s="28" t="s">
        <v>94</v>
      </c>
      <c r="I9" s="32" t="s">
        <v>95</v>
      </c>
      <c r="J9" s="33" t="s">
        <v>96</v>
      </c>
    </row>
    <row r="10" customFormat="false" ht="30" hidden="false" customHeight="true" outlineLevel="0" collapsed="false">
      <c r="B10" s="26" t="s">
        <v>97</v>
      </c>
      <c r="C10" s="27" t="s">
        <v>98</v>
      </c>
      <c r="D10" s="28" t="s">
        <v>99</v>
      </c>
      <c r="E10" s="29" t="n">
        <f aca="false">Assumptions!C16</f>
        <v>10</v>
      </c>
      <c r="F10" s="38" t="s">
        <v>100</v>
      </c>
      <c r="G10" s="31" t="s">
        <v>72</v>
      </c>
      <c r="H10" s="28" t="s">
        <v>101</v>
      </c>
      <c r="I10" s="32" t="s">
        <v>102</v>
      </c>
      <c r="J10" s="33" t="s">
        <v>96</v>
      </c>
    </row>
    <row r="11" customFormat="false" ht="30" hidden="false" customHeight="true" outlineLevel="0" collapsed="false">
      <c r="B11" s="26" t="s">
        <v>103</v>
      </c>
      <c r="C11" s="27" t="s">
        <v>104</v>
      </c>
      <c r="D11" s="28" t="s">
        <v>105</v>
      </c>
      <c r="E11" s="39" t="n">
        <f aca="false">Assumptions!C18</f>
        <v>3</v>
      </c>
      <c r="F11" s="40" t="s">
        <v>106</v>
      </c>
      <c r="G11" s="31" t="s">
        <v>72</v>
      </c>
      <c r="H11" s="28" t="s">
        <v>107</v>
      </c>
      <c r="I11" s="32" t="s">
        <v>108</v>
      </c>
      <c r="J11" s="31" t="s">
        <v>109</v>
      </c>
    </row>
    <row r="12" customFormat="false" ht="30" hidden="false" customHeight="true" outlineLevel="0" collapsed="false">
      <c r="B12" s="26" t="s">
        <v>110</v>
      </c>
      <c r="C12" s="27" t="s">
        <v>111</v>
      </c>
      <c r="D12" s="28" t="s">
        <v>112</v>
      </c>
      <c r="E12" s="39" t="n">
        <f aca="false">Assumptions!C79</f>
        <v>5</v>
      </c>
      <c r="F12" s="40" t="s">
        <v>106</v>
      </c>
      <c r="G12" s="31" t="s">
        <v>72</v>
      </c>
      <c r="H12" s="28" t="s">
        <v>107</v>
      </c>
      <c r="I12" s="32" t="s">
        <v>113</v>
      </c>
      <c r="J12" s="31" t="s">
        <v>109</v>
      </c>
    </row>
    <row r="13" customFormat="false" ht="30" hidden="false" customHeight="true" outlineLevel="0" collapsed="false">
      <c r="B13" s="26" t="s">
        <v>114</v>
      </c>
      <c r="C13" s="27" t="s">
        <v>115</v>
      </c>
      <c r="D13" s="28" t="s">
        <v>116</v>
      </c>
      <c r="E13" s="34" t="n">
        <f aca="false">Assumptions!C81</f>
        <v>0.5</v>
      </c>
      <c r="F13" s="40" t="s">
        <v>106</v>
      </c>
      <c r="G13" s="31" t="s">
        <v>72</v>
      </c>
      <c r="H13" s="28" t="s">
        <v>107</v>
      </c>
      <c r="I13" s="32" t="s">
        <v>117</v>
      </c>
      <c r="J13" s="31" t="s">
        <v>109</v>
      </c>
    </row>
    <row r="14" customFormat="false" ht="30" hidden="false" customHeight="true" outlineLevel="0" collapsed="false">
      <c r="B14" s="26" t="s">
        <v>118</v>
      </c>
      <c r="C14" s="27" t="s">
        <v>119</v>
      </c>
      <c r="D14" s="28" t="s">
        <v>120</v>
      </c>
      <c r="E14" s="39" t="n">
        <f aca="false">Assumptions!C31</f>
        <v>32</v>
      </c>
      <c r="F14" s="38" t="s">
        <v>100</v>
      </c>
      <c r="G14" s="33" t="s">
        <v>87</v>
      </c>
      <c r="H14" s="28" t="s">
        <v>121</v>
      </c>
      <c r="I14" s="32" t="s">
        <v>122</v>
      </c>
      <c r="J14" s="33" t="s">
        <v>123</v>
      </c>
    </row>
    <row r="15" customFormat="false" ht="30" hidden="false" customHeight="true" outlineLevel="0" collapsed="false">
      <c r="B15" s="26" t="s">
        <v>124</v>
      </c>
      <c r="C15" s="27" t="s">
        <v>125</v>
      </c>
      <c r="D15" s="28" t="s">
        <v>126</v>
      </c>
      <c r="E15" s="39" t="n">
        <f aca="false">Assumptions!C30</f>
        <v>4</v>
      </c>
      <c r="F15" s="38" t="s">
        <v>100</v>
      </c>
      <c r="G15" s="33" t="s">
        <v>87</v>
      </c>
      <c r="H15" s="28" t="s">
        <v>127</v>
      </c>
      <c r="I15" s="32" t="s">
        <v>128</v>
      </c>
      <c r="J15" s="33" t="s">
        <v>123</v>
      </c>
    </row>
    <row r="16" customFormat="false" ht="30" hidden="false" customHeight="true" outlineLevel="0" collapsed="false">
      <c r="B16" s="26" t="s">
        <v>129</v>
      </c>
      <c r="C16" s="27" t="s">
        <v>130</v>
      </c>
      <c r="D16" s="28" t="s">
        <v>131</v>
      </c>
      <c r="E16" s="29" t="n">
        <f aca="false">Assumptions!C74</f>
        <v>0</v>
      </c>
      <c r="F16" s="38" t="s">
        <v>100</v>
      </c>
      <c r="G16" s="31" t="s">
        <v>72</v>
      </c>
      <c r="H16" s="28" t="s">
        <v>132</v>
      </c>
      <c r="I16" s="32" t="s">
        <v>133</v>
      </c>
      <c r="J16" s="33" t="s">
        <v>134</v>
      </c>
    </row>
    <row r="17" customFormat="false" ht="30" hidden="false" customHeight="true" outlineLevel="0" collapsed="false">
      <c r="B17" s="26" t="s">
        <v>135</v>
      </c>
      <c r="C17" s="27" t="s">
        <v>136</v>
      </c>
      <c r="D17" s="28" t="s">
        <v>137</v>
      </c>
      <c r="E17" s="29" t="n">
        <f aca="false">Assumptions!C70</f>
        <v>750</v>
      </c>
      <c r="F17" s="38" t="s">
        <v>100</v>
      </c>
      <c r="G17" s="35" t="s">
        <v>79</v>
      </c>
      <c r="H17" s="28" t="s">
        <v>138</v>
      </c>
      <c r="I17" s="32" t="s">
        <v>139</v>
      </c>
      <c r="J17" s="33" t="s">
        <v>140</v>
      </c>
    </row>
    <row r="18" customFormat="false" ht="30" hidden="false" customHeight="true" outlineLevel="0" collapsed="false">
      <c r="B18" s="26" t="s">
        <v>141</v>
      </c>
      <c r="C18" s="27" t="s">
        <v>142</v>
      </c>
      <c r="D18" s="28" t="s">
        <v>143</v>
      </c>
      <c r="E18" s="39" t="n">
        <f aca="false">Assumptions!C66</f>
        <v>6</v>
      </c>
      <c r="F18" s="38" t="s">
        <v>100</v>
      </c>
      <c r="G18" s="35" t="s">
        <v>79</v>
      </c>
      <c r="H18" s="28" t="s">
        <v>107</v>
      </c>
      <c r="I18" s="32" t="s">
        <v>144</v>
      </c>
      <c r="J18" s="33" t="s">
        <v>145</v>
      </c>
    </row>
    <row r="19" customFormat="false" ht="30" hidden="false" customHeight="true" outlineLevel="0" collapsed="false">
      <c r="B19" s="26" t="s">
        <v>146</v>
      </c>
      <c r="C19" s="27" t="s">
        <v>147</v>
      </c>
      <c r="D19" s="28" t="s">
        <v>148</v>
      </c>
      <c r="E19" s="29" t="n">
        <f aca="false">Assumptions!C61</f>
        <v>75</v>
      </c>
      <c r="F19" s="37" t="s">
        <v>86</v>
      </c>
      <c r="G19" s="35" t="s">
        <v>79</v>
      </c>
      <c r="H19" s="28" t="s">
        <v>149</v>
      </c>
      <c r="I19" s="32" t="s">
        <v>150</v>
      </c>
      <c r="J19" s="33" t="s">
        <v>90</v>
      </c>
    </row>
    <row r="20" customFormat="false" ht="30" hidden="false" customHeight="true" outlineLevel="0" collapsed="false">
      <c r="B20" s="26" t="s">
        <v>151</v>
      </c>
      <c r="C20" s="27" t="s">
        <v>152</v>
      </c>
      <c r="D20" s="28" t="s">
        <v>153</v>
      </c>
      <c r="E20" s="29" t="n">
        <f aca="false">Assumptions!C41</f>
        <v>25</v>
      </c>
      <c r="F20" s="37" t="s">
        <v>86</v>
      </c>
      <c r="G20" s="33" t="s">
        <v>87</v>
      </c>
      <c r="H20" s="28" t="s">
        <v>154</v>
      </c>
      <c r="I20" s="32" t="s">
        <v>155</v>
      </c>
      <c r="J20" s="33" t="s">
        <v>90</v>
      </c>
    </row>
    <row r="21" customFormat="false" ht="30" hidden="false" customHeight="true" outlineLevel="0" collapsed="false">
      <c r="B21" s="26" t="s">
        <v>156</v>
      </c>
      <c r="C21" s="27" t="s">
        <v>157</v>
      </c>
      <c r="D21" s="28" t="s">
        <v>158</v>
      </c>
      <c r="E21" s="41" t="n">
        <f aca="false">Assumptions!C32</f>
        <v>0.00025</v>
      </c>
      <c r="F21" s="37" t="s">
        <v>86</v>
      </c>
      <c r="G21" s="33" t="s">
        <v>87</v>
      </c>
      <c r="H21" s="28" t="s">
        <v>159</v>
      </c>
      <c r="I21" s="32" t="s">
        <v>160</v>
      </c>
      <c r="J21" s="33" t="s">
        <v>90</v>
      </c>
    </row>
    <row r="22" customFormat="false" ht="30" hidden="false" customHeight="true" outlineLevel="0" collapsed="false">
      <c r="B22" s="26" t="s">
        <v>161</v>
      </c>
      <c r="C22" s="27" t="s">
        <v>162</v>
      </c>
      <c r="D22" s="28" t="s">
        <v>163</v>
      </c>
      <c r="E22" s="39" t="n">
        <f aca="false">TAM!C5</f>
        <v>3628934</v>
      </c>
      <c r="F22" s="37" t="s">
        <v>86</v>
      </c>
      <c r="G22" s="31" t="s">
        <v>72</v>
      </c>
      <c r="H22" s="28" t="s">
        <v>164</v>
      </c>
      <c r="I22" s="32" t="s">
        <v>165</v>
      </c>
      <c r="J22" s="33" t="s">
        <v>90</v>
      </c>
    </row>
    <row r="23" customFormat="false" ht="30" hidden="false" customHeight="true" outlineLevel="0" collapsed="false">
      <c r="B23" s="26" t="s">
        <v>166</v>
      </c>
      <c r="C23" s="27" t="s">
        <v>167</v>
      </c>
      <c r="D23" s="28" t="s">
        <v>168</v>
      </c>
      <c r="E23" s="34" t="n">
        <f aca="false">TAM!C6</f>
        <v>0.83</v>
      </c>
      <c r="F23" s="37" t="s">
        <v>86</v>
      </c>
      <c r="G23" s="31" t="s">
        <v>72</v>
      </c>
      <c r="H23" s="28" t="s">
        <v>169</v>
      </c>
      <c r="I23" s="32" t="s">
        <v>170</v>
      </c>
      <c r="J23" s="33" t="s">
        <v>90</v>
      </c>
    </row>
    <row r="24" customFormat="false" ht="30" hidden="false" customHeight="true" outlineLevel="0" collapsed="false">
      <c r="B24" s="26" t="s">
        <v>171</v>
      </c>
      <c r="C24" s="27" t="s">
        <v>172</v>
      </c>
      <c r="D24" s="28" t="s">
        <v>173</v>
      </c>
      <c r="E24" s="34" t="n">
        <f aca="false">TAM!C8</f>
        <v>0.9</v>
      </c>
      <c r="F24" s="38" t="s">
        <v>100</v>
      </c>
      <c r="G24" s="35" t="s">
        <v>79</v>
      </c>
      <c r="H24" s="28" t="s">
        <v>61</v>
      </c>
      <c r="I24" s="32" t="s">
        <v>174</v>
      </c>
      <c r="J24" s="33" t="s">
        <v>175</v>
      </c>
    </row>
    <row r="25" customFormat="false" ht="30" hidden="false" customHeight="true" outlineLevel="0" collapsed="false">
      <c r="B25" s="26" t="s">
        <v>176</v>
      </c>
      <c r="C25" s="27" t="s">
        <v>177</v>
      </c>
      <c r="D25" s="28" t="s">
        <v>178</v>
      </c>
      <c r="E25" s="34" t="n">
        <f aca="false">TAM!C9</f>
        <v>0.3</v>
      </c>
      <c r="F25" s="40" t="s">
        <v>106</v>
      </c>
      <c r="G25" s="31" t="s">
        <v>72</v>
      </c>
      <c r="H25" s="28" t="s">
        <v>179</v>
      </c>
      <c r="I25" s="32" t="s">
        <v>180</v>
      </c>
      <c r="J25" s="31" t="s">
        <v>109</v>
      </c>
    </row>
    <row r="26" customFormat="false" ht="30" hidden="false" customHeight="true" outlineLevel="0" collapsed="false">
      <c r="B26" s="26" t="s">
        <v>181</v>
      </c>
      <c r="C26" s="27" t="s">
        <v>182</v>
      </c>
      <c r="D26" s="28" t="s">
        <v>183</v>
      </c>
      <c r="E26" s="34" t="n">
        <f aca="false">'Payer Model'!C15</f>
        <v>0.45</v>
      </c>
      <c r="F26" s="40" t="s">
        <v>106</v>
      </c>
      <c r="G26" s="31" t="s">
        <v>72</v>
      </c>
      <c r="H26" s="28" t="s">
        <v>107</v>
      </c>
      <c r="I26" s="32" t="s">
        <v>184</v>
      </c>
      <c r="J26" s="31" t="s">
        <v>109</v>
      </c>
    </row>
    <row r="27" customFormat="false" ht="30" hidden="false" customHeight="true" outlineLevel="0" collapsed="false">
      <c r="B27" s="26" t="s">
        <v>185</v>
      </c>
      <c r="C27" s="27" t="s">
        <v>186</v>
      </c>
      <c r="D27" s="28" t="s">
        <v>187</v>
      </c>
      <c r="E27" s="34" t="n">
        <f aca="false">'Payer Model'!C17</f>
        <v>0.85</v>
      </c>
      <c r="F27" s="40" t="s">
        <v>106</v>
      </c>
      <c r="G27" s="31" t="s">
        <v>72</v>
      </c>
      <c r="H27" s="28" t="s">
        <v>188</v>
      </c>
      <c r="I27" s="32" t="s">
        <v>189</v>
      </c>
      <c r="J27" s="31" t="s">
        <v>109</v>
      </c>
    </row>
    <row r="28" customFormat="false" ht="30" hidden="false" customHeight="true" outlineLevel="0" collapsed="false">
      <c r="B28" s="26" t="s">
        <v>190</v>
      </c>
      <c r="C28" s="27" t="s">
        <v>191</v>
      </c>
      <c r="D28" s="28" t="s">
        <v>192</v>
      </c>
      <c r="E28" s="29" t="n">
        <f aca="false">'Payer Model'!C16</f>
        <v>25000</v>
      </c>
      <c r="F28" s="30" t="s">
        <v>71</v>
      </c>
      <c r="G28" s="35" t="s">
        <v>79</v>
      </c>
      <c r="H28" s="28" t="s">
        <v>193</v>
      </c>
      <c r="I28" s="32" t="s">
        <v>194</v>
      </c>
      <c r="J28" s="33" t="s">
        <v>195</v>
      </c>
    </row>
    <row r="29" customFormat="false" ht="30" hidden="false" customHeight="true" outlineLevel="0" collapsed="false">
      <c r="B29" s="26" t="s">
        <v>196</v>
      </c>
      <c r="C29" s="27" t="s">
        <v>197</v>
      </c>
      <c r="D29" s="28" t="s">
        <v>198</v>
      </c>
      <c r="E29" s="39" t="n">
        <f aca="false">'Payer Model'!C14</f>
        <v>800</v>
      </c>
      <c r="F29" s="38" t="s">
        <v>100</v>
      </c>
      <c r="G29" s="35" t="s">
        <v>79</v>
      </c>
      <c r="H29" s="28" t="s">
        <v>199</v>
      </c>
      <c r="I29" s="32" t="s">
        <v>200</v>
      </c>
      <c r="J29" s="33" t="s">
        <v>201</v>
      </c>
    </row>
    <row r="30" customFormat="false" ht="33.75" hidden="false" customHeight="true" outlineLevel="0" collapsed="false">
      <c r="B30" s="42" t="s">
        <v>202</v>
      </c>
      <c r="C30" s="43" t="s">
        <v>203</v>
      </c>
      <c r="D30" s="44" t="s">
        <v>204</v>
      </c>
      <c r="E30" s="45" t="n">
        <f aca="false">'Journey Map'!C22</f>
        <v>0</v>
      </c>
      <c r="F30" s="37" t="s">
        <v>86</v>
      </c>
      <c r="G30" s="31" t="s">
        <v>72</v>
      </c>
      <c r="H30" s="44" t="s">
        <v>205</v>
      </c>
      <c r="I30" s="32" t="s">
        <v>206</v>
      </c>
      <c r="J30" s="33" t="s">
        <v>90</v>
      </c>
    </row>
    <row r="31" customFormat="false" ht="33.75" hidden="false" customHeight="true" outlineLevel="0" collapsed="false">
      <c r="B31" s="42" t="s">
        <v>207</v>
      </c>
      <c r="C31" s="43" t="s">
        <v>208</v>
      </c>
      <c r="D31" s="44" t="s">
        <v>209</v>
      </c>
      <c r="E31" s="45" t="n">
        <f aca="false">'Journey Map'!E16</f>
        <v>0.129</v>
      </c>
      <c r="F31" s="37" t="s">
        <v>86</v>
      </c>
      <c r="G31" s="31" t="s">
        <v>72</v>
      </c>
      <c r="H31" s="44" t="s">
        <v>210</v>
      </c>
      <c r="I31" s="32" t="s">
        <v>211</v>
      </c>
      <c r="J31" s="33" t="s">
        <v>90</v>
      </c>
    </row>
    <row r="32" customFormat="false" ht="33.75" hidden="false" customHeight="true" outlineLevel="0" collapsed="false">
      <c r="B32" s="26" t="s">
        <v>212</v>
      </c>
      <c r="C32" s="43" t="s">
        <v>213</v>
      </c>
      <c r="D32" s="44" t="s">
        <v>214</v>
      </c>
      <c r="E32" s="45" t="n">
        <f aca="false">'Journey Map'!E13</f>
        <v>0.077</v>
      </c>
      <c r="F32" s="37" t="s">
        <v>86</v>
      </c>
      <c r="G32" s="35" t="s">
        <v>79</v>
      </c>
      <c r="H32" s="44" t="s">
        <v>210</v>
      </c>
      <c r="I32" s="32" t="s">
        <v>215</v>
      </c>
      <c r="J32" s="33" t="s">
        <v>90</v>
      </c>
    </row>
    <row r="33" customFormat="false" ht="15" hidden="false" customHeight="true" outlineLevel="0" collapsed="false">
      <c r="B33" s="46" t="s">
        <v>86</v>
      </c>
      <c r="C33" s="23" t="s">
        <v>216</v>
      </c>
    </row>
    <row r="34" customFormat="false" ht="15" hidden="false" customHeight="true" outlineLevel="0" collapsed="false">
      <c r="B34" s="47" t="s">
        <v>71</v>
      </c>
      <c r="C34" s="23" t="s">
        <v>217</v>
      </c>
    </row>
    <row r="35" customFormat="false" ht="15" hidden="false" customHeight="true" outlineLevel="0" collapsed="false">
      <c r="B35" s="48" t="s">
        <v>100</v>
      </c>
      <c r="C35" s="23" t="s">
        <v>218</v>
      </c>
    </row>
    <row r="36" customFormat="false" ht="15" hidden="false" customHeight="true" outlineLevel="0" collapsed="false">
      <c r="B36" s="49" t="s">
        <v>106</v>
      </c>
      <c r="C36" s="23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4" min="3" style="1" width="18"/>
    <col collapsed="false" customWidth="true" hidden="false" outlineLevel="0" max="5" min="5" style="1" width="80"/>
  </cols>
  <sheetData>
    <row r="1" customFormat="false" ht="19.5" hidden="false" customHeight="true" outlineLevel="0" collapsed="false">
      <c r="B1" s="50" t="s">
        <v>220</v>
      </c>
      <c r="C1" s="51" t="s">
        <v>221</v>
      </c>
      <c r="D1" s="52" t="s">
        <v>63</v>
      </c>
      <c r="E1" s="53" t="s">
        <v>222</v>
      </c>
    </row>
    <row r="3" customFormat="false" ht="15" hidden="false" customHeight="true" outlineLevel="0" collapsed="false">
      <c r="B3" s="54" t="s">
        <v>223</v>
      </c>
      <c r="C3" s="54"/>
      <c r="D3" s="54"/>
      <c r="E3" s="54"/>
    </row>
    <row r="4" customFormat="false" ht="21.75" hidden="false" customHeight="true" outlineLevel="0" collapsed="false">
      <c r="B4" s="55" t="s">
        <v>70</v>
      </c>
      <c r="C4" s="56" t="n">
        <v>49</v>
      </c>
      <c r="D4" s="30" t="s">
        <v>71</v>
      </c>
      <c r="E4" s="32" t="s">
        <v>224</v>
      </c>
    </row>
    <row r="5" customFormat="false" ht="15" hidden="false" customHeight="true" outlineLevel="0" collapsed="false">
      <c r="B5" s="55" t="s">
        <v>225</v>
      </c>
      <c r="C5" s="57" t="n">
        <v>30</v>
      </c>
      <c r="E5" s="58" t="s">
        <v>226</v>
      </c>
    </row>
    <row r="6" customFormat="false" ht="15" hidden="false" customHeight="true" outlineLevel="0" collapsed="false">
      <c r="B6" s="55" t="s">
        <v>227</v>
      </c>
      <c r="C6" s="59" t="n">
        <v>0.1</v>
      </c>
      <c r="D6" s="30" t="s">
        <v>71</v>
      </c>
      <c r="E6" s="32" t="s">
        <v>228</v>
      </c>
    </row>
    <row r="7" customFormat="false" ht="15" hidden="false" customHeight="true" outlineLevel="0" collapsed="false">
      <c r="B7" s="55" t="s">
        <v>229</v>
      </c>
      <c r="C7" s="59" t="n">
        <v>0.4</v>
      </c>
      <c r="E7" s="58" t="s">
        <v>230</v>
      </c>
    </row>
    <row r="9" customFormat="false" ht="15" hidden="false" customHeight="true" outlineLevel="0" collapsed="false">
      <c r="B9" s="54" t="s">
        <v>231</v>
      </c>
      <c r="C9" s="54"/>
      <c r="D9" s="54"/>
      <c r="E9" s="54"/>
    </row>
    <row r="10" customFormat="false" ht="15" hidden="false" customHeight="true" outlineLevel="0" collapsed="false">
      <c r="B10" s="55" t="s">
        <v>232</v>
      </c>
      <c r="C10" s="60" t="n">
        <v>0.029</v>
      </c>
      <c r="D10" s="37" t="s">
        <v>86</v>
      </c>
      <c r="E10" s="32" t="s">
        <v>233</v>
      </c>
    </row>
    <row r="11" customFormat="false" ht="15" hidden="false" customHeight="true" outlineLevel="0" collapsed="false">
      <c r="B11" s="55" t="s">
        <v>234</v>
      </c>
      <c r="C11" s="61" t="n">
        <v>0.3</v>
      </c>
      <c r="D11" s="37" t="s">
        <v>86</v>
      </c>
      <c r="E11" s="32" t="s">
        <v>235</v>
      </c>
    </row>
    <row r="13" customFormat="false" ht="15" hidden="false" customHeight="true" outlineLevel="0" collapsed="false">
      <c r="B13" s="54" t="s">
        <v>236</v>
      </c>
      <c r="C13" s="54"/>
      <c r="D13" s="54"/>
      <c r="E13" s="54"/>
    </row>
    <row r="14" customFormat="false" ht="21.75" hidden="false" customHeight="true" outlineLevel="0" collapsed="false">
      <c r="B14" s="55" t="s">
        <v>237</v>
      </c>
      <c r="C14" s="56" t="n">
        <v>30</v>
      </c>
      <c r="D14" s="30" t="s">
        <v>71</v>
      </c>
      <c r="E14" s="32" t="s">
        <v>238</v>
      </c>
    </row>
    <row r="15" customFormat="false" ht="15" hidden="false" customHeight="true" outlineLevel="0" collapsed="false">
      <c r="B15" s="55" t="s">
        <v>239</v>
      </c>
      <c r="C15" s="62" t="n">
        <v>65</v>
      </c>
      <c r="E15" s="63" t="s">
        <v>240</v>
      </c>
    </row>
    <row r="16" customFormat="false" ht="15" hidden="false" customHeight="true" outlineLevel="0" collapsed="false">
      <c r="B16" s="55" t="s">
        <v>241</v>
      </c>
      <c r="C16" s="62" t="n">
        <v>10</v>
      </c>
      <c r="D16" s="38" t="s">
        <v>100</v>
      </c>
      <c r="E16" s="32" t="s">
        <v>242</v>
      </c>
    </row>
    <row r="17" customFormat="false" ht="15" hidden="false" customHeight="true" outlineLevel="0" collapsed="false">
      <c r="B17" s="55" t="s">
        <v>243</v>
      </c>
      <c r="C17" s="64" t="n">
        <v>7</v>
      </c>
      <c r="D17" s="38" t="s">
        <v>100</v>
      </c>
      <c r="E17" s="32" t="s">
        <v>244</v>
      </c>
    </row>
    <row r="18" customFormat="false" ht="15" hidden="false" customHeight="true" outlineLevel="0" collapsed="false">
      <c r="B18" s="55" t="s">
        <v>245</v>
      </c>
      <c r="C18" s="64" t="n">
        <v>3</v>
      </c>
      <c r="D18" s="40" t="s">
        <v>106</v>
      </c>
      <c r="E18" s="32" t="s">
        <v>246</v>
      </c>
    </row>
    <row r="19" customFormat="false" ht="15" hidden="false" customHeight="true" outlineLevel="0" collapsed="false">
      <c r="B19" s="55" t="s">
        <v>247</v>
      </c>
      <c r="C19" s="65" t="n">
        <v>0.02</v>
      </c>
      <c r="D19" s="40" t="s">
        <v>106</v>
      </c>
      <c r="E19" s="32" t="s">
        <v>248</v>
      </c>
    </row>
    <row r="21" customFormat="false" ht="15" hidden="false" customHeight="true" outlineLevel="0" collapsed="false">
      <c r="B21" s="54" t="s">
        <v>249</v>
      </c>
      <c r="C21" s="54"/>
      <c r="D21" s="54"/>
      <c r="E21" s="54"/>
    </row>
    <row r="22" customFormat="false" ht="21.75" hidden="false" customHeight="true" outlineLevel="0" collapsed="false">
      <c r="B22" s="55" t="s">
        <v>250</v>
      </c>
      <c r="C22" s="57" t="n">
        <v>5</v>
      </c>
      <c r="E22" s="58" t="s">
        <v>251</v>
      </c>
    </row>
    <row r="23" customFormat="false" ht="21.75" hidden="false" customHeight="true" outlineLevel="0" collapsed="false">
      <c r="B23" s="55" t="s">
        <v>252</v>
      </c>
      <c r="C23" s="57" t="n">
        <v>10</v>
      </c>
      <c r="E23" s="58" t="s">
        <v>253</v>
      </c>
    </row>
    <row r="24" customFormat="false" ht="15" hidden="false" customHeight="true" outlineLevel="0" collapsed="false">
      <c r="B24" s="55" t="s">
        <v>254</v>
      </c>
      <c r="C24" s="57" t="n">
        <v>30</v>
      </c>
      <c r="E24" s="58" t="s">
        <v>255</v>
      </c>
    </row>
    <row r="25" customFormat="false" ht="15" hidden="false" customHeight="true" outlineLevel="0" collapsed="false">
      <c r="B25" s="55" t="s">
        <v>256</v>
      </c>
      <c r="C25" s="57" t="n">
        <v>60</v>
      </c>
      <c r="E25" s="58" t="s">
        <v>255</v>
      </c>
    </row>
    <row r="26" customFormat="false" ht="15" hidden="false" customHeight="true" outlineLevel="0" collapsed="false">
      <c r="B26" s="55" t="s">
        <v>257</v>
      </c>
      <c r="C26" s="66" t="n">
        <v>0.15</v>
      </c>
      <c r="E26" s="63" t="s">
        <v>258</v>
      </c>
    </row>
    <row r="27" customFormat="false" ht="21.75" hidden="false" customHeight="true" outlineLevel="0" collapsed="false">
      <c r="B27" s="55" t="s">
        <v>259</v>
      </c>
      <c r="C27" s="59" t="n">
        <v>0</v>
      </c>
      <c r="E27" s="58" t="s">
        <v>260</v>
      </c>
    </row>
    <row r="29" customFormat="false" ht="15" hidden="false" customHeight="true" outlineLevel="0" collapsed="false">
      <c r="B29" s="54" t="s">
        <v>261</v>
      </c>
      <c r="C29" s="54"/>
      <c r="D29" s="54"/>
      <c r="E29" s="54"/>
    </row>
    <row r="30" customFormat="false" ht="15" hidden="false" customHeight="true" outlineLevel="0" collapsed="false">
      <c r="B30" s="55" t="s">
        <v>262</v>
      </c>
      <c r="C30" s="67" t="n">
        <v>4</v>
      </c>
      <c r="D30" s="38" t="s">
        <v>100</v>
      </c>
      <c r="E30" s="32" t="s">
        <v>263</v>
      </c>
    </row>
    <row r="31" customFormat="false" ht="15" hidden="false" customHeight="true" outlineLevel="0" collapsed="false">
      <c r="B31" s="55" t="s">
        <v>264</v>
      </c>
      <c r="C31" s="68" t="n">
        <v>32</v>
      </c>
      <c r="D31" s="38" t="s">
        <v>100</v>
      </c>
      <c r="E31" s="32" t="s">
        <v>265</v>
      </c>
    </row>
    <row r="32" customFormat="false" ht="21.75" hidden="false" customHeight="true" outlineLevel="0" collapsed="false">
      <c r="B32" s="55" t="s">
        <v>266</v>
      </c>
      <c r="C32" s="69" t="n">
        <v>0.00025</v>
      </c>
      <c r="D32" s="37" t="s">
        <v>86</v>
      </c>
      <c r="E32" s="32" t="s">
        <v>267</v>
      </c>
    </row>
    <row r="33" customFormat="false" ht="15" hidden="false" customHeight="true" outlineLevel="0" collapsed="false">
      <c r="B33" s="55" t="s">
        <v>268</v>
      </c>
      <c r="C33" s="69" t="n">
        <v>0.00125</v>
      </c>
      <c r="D33" s="37" t="s">
        <v>86</v>
      </c>
      <c r="E33" s="32" t="s">
        <v>269</v>
      </c>
    </row>
    <row r="34" customFormat="false" ht="15" hidden="false" customHeight="true" outlineLevel="0" collapsed="false">
      <c r="B34" s="55" t="s">
        <v>270</v>
      </c>
      <c r="C34" s="57" t="n">
        <v>500</v>
      </c>
      <c r="E34" s="58" t="s">
        <v>271</v>
      </c>
    </row>
    <row r="35" customFormat="false" ht="15" hidden="false" customHeight="true" outlineLevel="0" collapsed="false">
      <c r="B35" s="55" t="s">
        <v>272</v>
      </c>
      <c r="C35" s="57" t="n">
        <v>300</v>
      </c>
      <c r="E35" s="58" t="s">
        <v>273</v>
      </c>
    </row>
    <row r="36" customFormat="false" ht="21.75" hidden="false" customHeight="true" outlineLevel="0" collapsed="false">
      <c r="B36" s="55" t="s">
        <v>274</v>
      </c>
      <c r="C36" s="61" t="n">
        <v>0.02</v>
      </c>
      <c r="E36" s="58" t="s">
        <v>275</v>
      </c>
    </row>
    <row r="37" customFormat="false" ht="15" hidden="false" customHeight="true" outlineLevel="0" collapsed="false">
      <c r="B37" s="55" t="s">
        <v>276</v>
      </c>
      <c r="C37" s="57" t="n">
        <v>50</v>
      </c>
      <c r="E37" s="58" t="s">
        <v>277</v>
      </c>
    </row>
    <row r="39" customFormat="false" ht="15" hidden="false" customHeight="true" outlineLevel="0" collapsed="false">
      <c r="B39" s="54" t="s">
        <v>278</v>
      </c>
      <c r="C39" s="54"/>
      <c r="D39" s="54"/>
      <c r="E39" s="54"/>
    </row>
    <row r="40" customFormat="false" ht="15" hidden="false" customHeight="true" outlineLevel="0" collapsed="false">
      <c r="B40" s="55" t="s">
        <v>279</v>
      </c>
      <c r="C40" s="56" t="n">
        <v>0</v>
      </c>
      <c r="E40" s="58" t="s">
        <v>280</v>
      </c>
    </row>
    <row r="41" customFormat="false" ht="15" hidden="false" customHeight="true" outlineLevel="0" collapsed="false">
      <c r="B41" s="55" t="s">
        <v>281</v>
      </c>
      <c r="C41" s="56" t="n">
        <v>25</v>
      </c>
      <c r="D41" s="37" t="s">
        <v>86</v>
      </c>
      <c r="E41" s="32" t="s">
        <v>282</v>
      </c>
    </row>
    <row r="42" customFormat="false" ht="21.75" hidden="false" customHeight="true" outlineLevel="0" collapsed="false">
      <c r="B42" s="55" t="s">
        <v>283</v>
      </c>
      <c r="C42" s="64" t="n">
        <v>500</v>
      </c>
      <c r="D42" s="38" t="s">
        <v>100</v>
      </c>
      <c r="E42" s="32" t="s">
        <v>284</v>
      </c>
    </row>
    <row r="43" customFormat="false" ht="21.75" hidden="false" customHeight="true" outlineLevel="0" collapsed="false">
      <c r="B43" s="55" t="s">
        <v>285</v>
      </c>
      <c r="C43" s="56" t="n">
        <v>0</v>
      </c>
      <c r="E43" s="58" t="s">
        <v>286</v>
      </c>
    </row>
    <row r="44" customFormat="false" ht="15" hidden="false" customHeight="true" outlineLevel="0" collapsed="false">
      <c r="B44" s="55" t="s">
        <v>287</v>
      </c>
      <c r="C44" s="56" t="n">
        <v>20</v>
      </c>
      <c r="E44" s="58" t="s">
        <v>288</v>
      </c>
    </row>
    <row r="45" customFormat="false" ht="15" hidden="false" customHeight="true" outlineLevel="0" collapsed="false">
      <c r="B45" s="55" t="s">
        <v>289</v>
      </c>
      <c r="C45" s="56" t="n">
        <v>0</v>
      </c>
      <c r="E45" s="58" t="s">
        <v>290</v>
      </c>
    </row>
    <row r="46" customFormat="false" ht="15" hidden="false" customHeight="true" outlineLevel="0" collapsed="false">
      <c r="B46" s="55" t="s">
        <v>291</v>
      </c>
      <c r="C46" s="56" t="n">
        <v>0</v>
      </c>
      <c r="E46" s="58" t="s">
        <v>292</v>
      </c>
    </row>
    <row r="47" customFormat="false" ht="15" hidden="false" customHeight="true" outlineLevel="0" collapsed="false">
      <c r="B47" s="55" t="s">
        <v>293</v>
      </c>
      <c r="C47" s="56" t="n">
        <v>10</v>
      </c>
      <c r="E47" s="58" t="s">
        <v>294</v>
      </c>
    </row>
    <row r="48" customFormat="false" ht="15" hidden="false" customHeight="true" outlineLevel="0" collapsed="false">
      <c r="B48" s="55" t="s">
        <v>295</v>
      </c>
      <c r="C48" s="56" t="n">
        <v>0</v>
      </c>
      <c r="E48" s="58" t="s">
        <v>296</v>
      </c>
    </row>
    <row r="49" customFormat="false" ht="15" hidden="false" customHeight="true" outlineLevel="0" collapsed="false">
      <c r="B49" s="55" t="s">
        <v>297</v>
      </c>
      <c r="C49" s="62" t="n">
        <v>20</v>
      </c>
      <c r="E49" s="63" t="s">
        <v>298</v>
      </c>
    </row>
    <row r="51" customFormat="false" ht="15" hidden="false" customHeight="true" outlineLevel="0" collapsed="false">
      <c r="B51" s="54" t="s">
        <v>299</v>
      </c>
      <c r="C51" s="54"/>
      <c r="D51" s="54"/>
      <c r="E51" s="54"/>
    </row>
    <row r="52" customFormat="false" ht="21.75" hidden="false" customHeight="true" outlineLevel="0" collapsed="false">
      <c r="B52" s="55" t="s">
        <v>300</v>
      </c>
      <c r="C52" s="56" t="n">
        <v>200</v>
      </c>
      <c r="E52" s="58" t="s">
        <v>301</v>
      </c>
    </row>
    <row r="53" customFormat="false" ht="15" hidden="false" customHeight="true" outlineLevel="0" collapsed="false">
      <c r="B53" s="55" t="s">
        <v>302</v>
      </c>
      <c r="C53" s="56" t="n">
        <v>375</v>
      </c>
      <c r="E53" s="58" t="s">
        <v>303</v>
      </c>
    </row>
    <row r="54" customFormat="false" ht="15" hidden="false" customHeight="true" outlineLevel="0" collapsed="false">
      <c r="B54" s="55" t="s">
        <v>304</v>
      </c>
      <c r="C54" s="62" t="n">
        <v>300</v>
      </c>
      <c r="E54" s="63" t="s">
        <v>305</v>
      </c>
    </row>
    <row r="55" customFormat="false" ht="15" hidden="false" customHeight="true" outlineLevel="0" collapsed="false">
      <c r="B55" s="55" t="s">
        <v>306</v>
      </c>
      <c r="C55" s="62" t="n">
        <v>50</v>
      </c>
      <c r="E55" s="63" t="s">
        <v>307</v>
      </c>
    </row>
    <row r="56" customFormat="false" ht="15" hidden="false" customHeight="true" outlineLevel="0" collapsed="false">
      <c r="B56" s="55" t="s">
        <v>308</v>
      </c>
      <c r="C56" s="62" t="n">
        <v>0</v>
      </c>
      <c r="E56" s="63" t="s">
        <v>309</v>
      </c>
    </row>
    <row r="57" customFormat="false" ht="15" hidden="false" customHeight="true" outlineLevel="0" collapsed="false">
      <c r="B57" s="55" t="s">
        <v>310</v>
      </c>
      <c r="C57" s="62" t="n">
        <v>180</v>
      </c>
      <c r="E57" s="63" t="s">
        <v>311</v>
      </c>
    </row>
    <row r="58" customFormat="false" ht="15" hidden="false" customHeight="true" outlineLevel="0" collapsed="false">
      <c r="B58" s="55" t="s">
        <v>312</v>
      </c>
      <c r="C58" s="56" t="n">
        <v>0</v>
      </c>
      <c r="E58" s="58" t="s">
        <v>313</v>
      </c>
    </row>
    <row r="60" customFormat="false" ht="15" hidden="false" customHeight="true" outlineLevel="0" collapsed="false">
      <c r="B60" s="54" t="s">
        <v>314</v>
      </c>
      <c r="C60" s="54"/>
      <c r="D60" s="54"/>
      <c r="E60" s="54"/>
    </row>
    <row r="61" customFormat="false" ht="15" hidden="false" customHeight="true" outlineLevel="0" collapsed="false">
      <c r="B61" s="55" t="s">
        <v>315</v>
      </c>
      <c r="C61" s="56" t="n">
        <v>75</v>
      </c>
      <c r="D61" s="37" t="s">
        <v>86</v>
      </c>
      <c r="E61" s="32" t="s">
        <v>316</v>
      </c>
    </row>
    <row r="62" customFormat="false" ht="15" hidden="false" customHeight="true" outlineLevel="0" collapsed="false">
      <c r="B62" s="55" t="s">
        <v>317</v>
      </c>
      <c r="C62" s="56" t="n">
        <v>150</v>
      </c>
      <c r="E62" s="58" t="s">
        <v>318</v>
      </c>
    </row>
    <row r="63" customFormat="false" ht="15" hidden="false" customHeight="true" outlineLevel="0" collapsed="false">
      <c r="B63" s="55" t="s">
        <v>319</v>
      </c>
      <c r="C63" s="57" t="n">
        <v>90</v>
      </c>
      <c r="E63" s="58" t="s">
        <v>320</v>
      </c>
    </row>
    <row r="64" customFormat="false" ht="15" hidden="false" customHeight="true" outlineLevel="0" collapsed="false">
      <c r="B64" s="55" t="s">
        <v>321</v>
      </c>
      <c r="C64" s="57" t="n">
        <v>116</v>
      </c>
      <c r="E64" s="58" t="s">
        <v>320</v>
      </c>
    </row>
    <row r="65" customFormat="false" ht="15" hidden="false" customHeight="true" outlineLevel="0" collapsed="false">
      <c r="B65" s="55" t="s">
        <v>322</v>
      </c>
      <c r="C65" s="70" t="n">
        <v>0.00375</v>
      </c>
      <c r="E65" s="63" t="s">
        <v>323</v>
      </c>
    </row>
    <row r="66" customFormat="false" ht="15" hidden="false" customHeight="true" outlineLevel="0" collapsed="false">
      <c r="B66" s="55" t="s">
        <v>324</v>
      </c>
      <c r="C66" s="64" t="n">
        <v>6</v>
      </c>
      <c r="D66" s="38" t="s">
        <v>100</v>
      </c>
      <c r="E66" s="32" t="s">
        <v>325</v>
      </c>
    </row>
    <row r="68" customFormat="false" ht="15" hidden="false" customHeight="true" outlineLevel="0" collapsed="false">
      <c r="B68" s="54" t="s">
        <v>326</v>
      </c>
      <c r="C68" s="54"/>
      <c r="D68" s="54"/>
      <c r="E68" s="54"/>
    </row>
    <row r="69" customFormat="false" ht="15" hidden="false" customHeight="true" outlineLevel="0" collapsed="false">
      <c r="B69" s="55" t="s">
        <v>327</v>
      </c>
      <c r="C69" s="56" t="n">
        <v>0</v>
      </c>
      <c r="E69" s="58" t="s">
        <v>328</v>
      </c>
    </row>
    <row r="70" customFormat="false" ht="15" hidden="false" customHeight="true" outlineLevel="0" collapsed="false">
      <c r="B70" s="55" t="s">
        <v>329</v>
      </c>
      <c r="C70" s="62" t="n">
        <v>750</v>
      </c>
      <c r="D70" s="38" t="s">
        <v>100</v>
      </c>
      <c r="E70" s="32" t="s">
        <v>330</v>
      </c>
    </row>
    <row r="71" customFormat="false" ht="15" hidden="false" customHeight="true" outlineLevel="0" collapsed="false">
      <c r="B71" s="55" t="s">
        <v>331</v>
      </c>
      <c r="C71" s="62" t="n">
        <v>75</v>
      </c>
      <c r="D71" s="38" t="s">
        <v>100</v>
      </c>
      <c r="E71" s="32" t="s">
        <v>332</v>
      </c>
    </row>
    <row r="73" customFormat="false" ht="15" hidden="false" customHeight="true" outlineLevel="0" collapsed="false">
      <c r="B73" s="54" t="s">
        <v>333</v>
      </c>
      <c r="C73" s="54"/>
      <c r="D73" s="54"/>
      <c r="E73" s="54"/>
    </row>
    <row r="74" customFormat="false" ht="15" hidden="false" customHeight="true" outlineLevel="0" collapsed="false">
      <c r="B74" s="55" t="s">
        <v>334</v>
      </c>
      <c r="C74" s="62" t="n">
        <v>0</v>
      </c>
      <c r="D74" s="38" t="s">
        <v>100</v>
      </c>
      <c r="E74" s="32" t="s">
        <v>335</v>
      </c>
    </row>
    <row r="75" customFormat="false" ht="15" hidden="false" customHeight="true" outlineLevel="0" collapsed="false">
      <c r="B75" s="55" t="s">
        <v>336</v>
      </c>
      <c r="C75" s="62" t="n">
        <v>0</v>
      </c>
      <c r="E75" s="63" t="s">
        <v>337</v>
      </c>
    </row>
    <row r="77" customFormat="false" ht="15" hidden="false" customHeight="true" outlineLevel="0" collapsed="false">
      <c r="B77" s="71" t="s">
        <v>338</v>
      </c>
    </row>
    <row r="78" customFormat="false" ht="15" hidden="false" customHeight="true" outlineLevel="0" collapsed="false">
      <c r="B78" s="72" t="s">
        <v>339</v>
      </c>
      <c r="C78" s="73" t="n">
        <f aca="false">C17</f>
        <v>7</v>
      </c>
      <c r="E78" s="58" t="s">
        <v>340</v>
      </c>
    </row>
    <row r="79" customFormat="false" ht="15" hidden="false" customHeight="true" outlineLevel="0" collapsed="false">
      <c r="B79" s="72" t="s">
        <v>341</v>
      </c>
      <c r="C79" s="74" t="n">
        <v>5</v>
      </c>
      <c r="D79" s="40" t="s">
        <v>106</v>
      </c>
      <c r="E79" s="32" t="s">
        <v>342</v>
      </c>
    </row>
    <row r="80" customFormat="false" ht="15" hidden="false" customHeight="true" outlineLevel="0" collapsed="false">
      <c r="B80" s="72" t="s">
        <v>343</v>
      </c>
      <c r="C80" s="73" t="n">
        <f aca="false">C18</f>
        <v>3</v>
      </c>
      <c r="E80" s="58" t="s">
        <v>344</v>
      </c>
    </row>
    <row r="81" customFormat="false" ht="15" hidden="false" customHeight="true" outlineLevel="0" collapsed="false">
      <c r="B81" s="72" t="s">
        <v>345</v>
      </c>
      <c r="C81" s="75" t="n">
        <v>0.5</v>
      </c>
      <c r="D81" s="40" t="s">
        <v>106</v>
      </c>
      <c r="E81" s="32" t="s">
        <v>346</v>
      </c>
    </row>
    <row r="82" customFormat="false" ht="15" hidden="false" customHeight="true" outlineLevel="0" collapsed="false">
      <c r="B82" s="72" t="s">
        <v>347</v>
      </c>
      <c r="C82" s="72" t="n">
        <f aca="false">ROUND(C70/C14,0)</f>
        <v>25</v>
      </c>
      <c r="E82" s="58" t="s">
        <v>348</v>
      </c>
    </row>
  </sheetData>
  <mergeCells count="10">
    <mergeCell ref="B3:E3"/>
    <mergeCell ref="B9:E9"/>
    <mergeCell ref="B13:E13"/>
    <mergeCell ref="B21:E21"/>
    <mergeCell ref="B29:E29"/>
    <mergeCell ref="B39:E39"/>
    <mergeCell ref="B51:E51"/>
    <mergeCell ref="B60:E60"/>
    <mergeCell ref="B68:E68"/>
    <mergeCell ref="B73:E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4" min="3" style="1" width="26"/>
    <col collapsed="false" customWidth="true" hidden="false" outlineLevel="0" max="5" min="5" style="1" width="20"/>
    <col collapsed="false" customWidth="true" hidden="false" outlineLevel="0" max="6" min="6" style="1" width="34"/>
  </cols>
  <sheetData>
    <row r="1" customFormat="false" ht="17.25" hidden="false" customHeight="true" outlineLevel="0" collapsed="false">
      <c r="B1" s="76" t="s">
        <v>349</v>
      </c>
    </row>
    <row r="2" customFormat="false" ht="15" hidden="false" customHeight="true" outlineLevel="0" collapsed="false">
      <c r="B2" s="23" t="s">
        <v>350</v>
      </c>
    </row>
    <row r="3" customFormat="false" ht="15" hidden="false" customHeight="true" outlineLevel="0" collapsed="false">
      <c r="B3" s="77" t="s">
        <v>351</v>
      </c>
    </row>
    <row r="4" customFormat="false" ht="15" hidden="false" customHeight="true" outlineLevel="0" collapsed="false">
      <c r="B4" s="24" t="s">
        <v>352</v>
      </c>
    </row>
    <row r="6" customFormat="false" ht="15" hidden="false" customHeight="true" outlineLevel="0" collapsed="false">
      <c r="B6" s="78" t="s">
        <v>353</v>
      </c>
    </row>
    <row r="7" customFormat="false" ht="26.25" hidden="false" customHeight="true" outlineLevel="0" collapsed="false">
      <c r="B7" s="25" t="s">
        <v>354</v>
      </c>
      <c r="C7" s="25" t="s">
        <v>355</v>
      </c>
      <c r="D7" s="25" t="s">
        <v>356</v>
      </c>
      <c r="E7" s="25" t="s">
        <v>357</v>
      </c>
      <c r="F7" s="25" t="s">
        <v>358</v>
      </c>
    </row>
    <row r="8" customFormat="false" ht="15" hidden="false" customHeight="true" outlineLevel="0" collapsed="false">
      <c r="B8" s="28" t="s">
        <v>359</v>
      </c>
      <c r="C8" s="79" t="n">
        <v>0.857</v>
      </c>
      <c r="D8" s="79"/>
      <c r="E8" s="79"/>
      <c r="F8" s="21"/>
    </row>
    <row r="9" customFormat="false" ht="15" hidden="false" customHeight="true" outlineLevel="0" collapsed="false">
      <c r="B9" s="28" t="s">
        <v>360</v>
      </c>
      <c r="C9" s="79" t="n">
        <v>0.824</v>
      </c>
      <c r="D9" s="79"/>
      <c r="E9" s="79"/>
      <c r="F9" s="21"/>
    </row>
    <row r="10" customFormat="false" ht="15" hidden="false" customHeight="true" outlineLevel="0" collapsed="false">
      <c r="B10" s="26" t="s">
        <v>361</v>
      </c>
      <c r="C10" s="79" t="n">
        <v>0.805</v>
      </c>
      <c r="D10" s="79" t="n">
        <v>1</v>
      </c>
      <c r="E10" s="79"/>
      <c r="F10" s="80" t="s">
        <v>362</v>
      </c>
    </row>
    <row r="11" customFormat="false" ht="15" hidden="false" customHeight="true" outlineLevel="0" collapsed="false">
      <c r="B11" s="28" t="s">
        <v>363</v>
      </c>
      <c r="C11" s="79" t="n">
        <v>0.785</v>
      </c>
      <c r="D11" s="79" t="n">
        <v>0.976</v>
      </c>
      <c r="E11" s="79" t="n">
        <v>0.047</v>
      </c>
      <c r="F11" s="21"/>
    </row>
    <row r="12" customFormat="false" ht="15" hidden="false" customHeight="true" outlineLevel="0" collapsed="false">
      <c r="B12" s="28" t="s">
        <v>364</v>
      </c>
      <c r="C12" s="79" t="n">
        <v>0.745</v>
      </c>
      <c r="D12" s="79" t="n">
        <v>0.926</v>
      </c>
      <c r="E12" s="79" t="n">
        <v>0.051</v>
      </c>
      <c r="F12" s="21"/>
    </row>
    <row r="13" customFormat="false" ht="15" hidden="false" customHeight="true" outlineLevel="0" collapsed="false">
      <c r="B13" s="28" t="s">
        <v>365</v>
      </c>
      <c r="C13" s="79" t="n">
        <v>0.688</v>
      </c>
      <c r="D13" s="79" t="n">
        <v>0.855</v>
      </c>
      <c r="E13" s="81" t="n">
        <v>0.077</v>
      </c>
      <c r="F13" s="24" t="s">
        <v>366</v>
      </c>
    </row>
    <row r="14" customFormat="false" ht="15" hidden="false" customHeight="true" outlineLevel="0" collapsed="false">
      <c r="B14" s="28" t="s">
        <v>367</v>
      </c>
      <c r="C14" s="79" t="n">
        <v>0.645</v>
      </c>
      <c r="D14" s="79" t="n">
        <v>0.802</v>
      </c>
      <c r="E14" s="79" t="n">
        <v>0.062</v>
      </c>
      <c r="F14" s="21"/>
    </row>
    <row r="15" customFormat="false" ht="15" hidden="false" customHeight="true" outlineLevel="0" collapsed="false">
      <c r="B15" s="28" t="s">
        <v>368</v>
      </c>
      <c r="C15" s="79" t="n">
        <v>0.621</v>
      </c>
      <c r="D15" s="79" t="n">
        <v>0.772</v>
      </c>
      <c r="E15" s="79" t="n">
        <v>0.037</v>
      </c>
      <c r="F15" s="21"/>
    </row>
    <row r="16" customFormat="false" ht="15" hidden="false" customHeight="true" outlineLevel="0" collapsed="false">
      <c r="B16" s="28" t="s">
        <v>369</v>
      </c>
      <c r="C16" s="79" t="n">
        <v>0.541</v>
      </c>
      <c r="D16" s="79" t="n">
        <v>0.672</v>
      </c>
      <c r="E16" s="82" t="n">
        <v>0.129</v>
      </c>
      <c r="F16" s="24" t="s">
        <v>370</v>
      </c>
    </row>
    <row r="17" customFormat="false" ht="15" hidden="false" customHeight="true" outlineLevel="0" collapsed="false">
      <c r="B17" s="28" t="s">
        <v>371</v>
      </c>
      <c r="C17" s="79" t="n">
        <v>0.515</v>
      </c>
      <c r="D17" s="79" t="n">
        <v>0.64</v>
      </c>
      <c r="E17" s="79" t="n">
        <v>0.048</v>
      </c>
      <c r="F17" s="21"/>
    </row>
    <row r="18" customFormat="false" ht="15" hidden="false" customHeight="true" outlineLevel="0" collapsed="false">
      <c r="B18" s="28" t="s">
        <v>372</v>
      </c>
      <c r="C18" s="79" t="n">
        <v>0.479</v>
      </c>
      <c r="D18" s="79" t="n">
        <v>0.595</v>
      </c>
      <c r="E18" s="81" t="n">
        <v>0.07</v>
      </c>
      <c r="F18" s="21"/>
    </row>
    <row r="19" customFormat="false" ht="15" hidden="false" customHeight="true" outlineLevel="0" collapsed="false">
      <c r="B19" s="28" t="s">
        <v>373</v>
      </c>
      <c r="C19" s="79" t="n">
        <v>0.449</v>
      </c>
      <c r="D19" s="79" t="n">
        <v>0.558</v>
      </c>
      <c r="E19" s="79" t="n">
        <v>0.063</v>
      </c>
      <c r="F19" s="21"/>
    </row>
    <row r="20" customFormat="false" ht="15" hidden="false" customHeight="true" outlineLevel="0" collapsed="false">
      <c r="B20" s="28" t="s">
        <v>374</v>
      </c>
      <c r="C20" s="79" t="n">
        <v>0.426</v>
      </c>
      <c r="D20" s="79" t="n">
        <v>0.53</v>
      </c>
      <c r="E20" s="79" t="n">
        <v>0.051</v>
      </c>
      <c r="F20" s="21"/>
    </row>
    <row r="21" customFormat="false" ht="15" hidden="false" customHeight="true" outlineLevel="0" collapsed="false">
      <c r="B21" s="26" t="s">
        <v>375</v>
      </c>
      <c r="C21" s="79" t="n">
        <v>0.408</v>
      </c>
      <c r="D21" s="79" t="n">
        <v>0.507</v>
      </c>
      <c r="E21" s="79" t="n">
        <v>0.042</v>
      </c>
      <c r="F21" s="24" t="s">
        <v>376</v>
      </c>
    </row>
    <row r="22" customFormat="false" ht="15" hidden="false" customHeight="true" outlineLevel="0" collapsed="false">
      <c r="B22" s="28" t="s">
        <v>377</v>
      </c>
      <c r="C22" s="79"/>
      <c r="D22" s="79"/>
      <c r="E22" s="82" t="n">
        <v>0.118</v>
      </c>
      <c r="F22" s="24" t="s">
        <v>378</v>
      </c>
    </row>
    <row r="23" customFormat="false" ht="15" hidden="false" customHeight="true" outlineLevel="0" collapsed="false">
      <c r="B23" s="28" t="s">
        <v>379</v>
      </c>
      <c r="C23" s="79" t="n">
        <v>0.192</v>
      </c>
      <c r="D23" s="79" t="n">
        <v>0.239</v>
      </c>
      <c r="E23" s="82" t="n">
        <v>0.118</v>
      </c>
      <c r="F23" s="80" t="s">
        <v>380</v>
      </c>
    </row>
    <row r="26" customFormat="false" ht="15" hidden="false" customHeight="true" outlineLevel="0" collapsed="false">
      <c r="B26" s="78" t="s">
        <v>381</v>
      </c>
    </row>
    <row r="27" customFormat="false" ht="26.25" hidden="false" customHeight="true" outlineLevel="0" collapsed="false">
      <c r="B27" s="25" t="s">
        <v>382</v>
      </c>
      <c r="C27" s="25" t="s">
        <v>383</v>
      </c>
      <c r="D27" s="25" t="s">
        <v>354</v>
      </c>
      <c r="E27" s="25" t="s">
        <v>384</v>
      </c>
      <c r="F27" s="25" t="s">
        <v>385</v>
      </c>
      <c r="G27" s="25" t="s">
        <v>386</v>
      </c>
    </row>
    <row r="28" customFormat="false" ht="31.5" hidden="false" customHeight="true" outlineLevel="0" collapsed="false">
      <c r="B28" s="26" t="n">
        <v>1</v>
      </c>
      <c r="C28" s="26" t="s">
        <v>387</v>
      </c>
      <c r="D28" s="28" t="s">
        <v>388</v>
      </c>
      <c r="E28" s="26" t="n">
        <v>9</v>
      </c>
      <c r="F28" s="32" t="s">
        <v>389</v>
      </c>
      <c r="G28" s="32" t="s">
        <v>390</v>
      </c>
    </row>
    <row r="29" customFormat="false" ht="31.5" hidden="false" customHeight="true" outlineLevel="0" collapsed="false">
      <c r="B29" s="26" t="n">
        <v>2</v>
      </c>
      <c r="C29" s="26" t="s">
        <v>391</v>
      </c>
      <c r="D29" s="28" t="s">
        <v>392</v>
      </c>
      <c r="E29" s="26" t="n">
        <v>7</v>
      </c>
      <c r="F29" s="32" t="s">
        <v>393</v>
      </c>
      <c r="G29" s="32" t="s">
        <v>394</v>
      </c>
    </row>
    <row r="30" customFormat="false" ht="31.5" hidden="false" customHeight="true" outlineLevel="0" collapsed="false">
      <c r="B30" s="26" t="n">
        <v>3</v>
      </c>
      <c r="C30" s="26" t="s">
        <v>395</v>
      </c>
      <c r="D30" s="28" t="s">
        <v>396</v>
      </c>
      <c r="E30" s="26" t="n">
        <v>9</v>
      </c>
      <c r="F30" s="32" t="s">
        <v>397</v>
      </c>
      <c r="G30" s="32" t="s">
        <v>398</v>
      </c>
    </row>
    <row r="31" customFormat="false" ht="31.5" hidden="false" customHeight="true" outlineLevel="0" collapsed="false">
      <c r="B31" s="26" t="n">
        <v>4</v>
      </c>
      <c r="C31" s="26" t="s">
        <v>399</v>
      </c>
      <c r="D31" s="28" t="s">
        <v>400</v>
      </c>
      <c r="E31" s="26" t="n">
        <v>7</v>
      </c>
      <c r="F31" s="32" t="s">
        <v>401</v>
      </c>
      <c r="G31" s="32" t="s">
        <v>402</v>
      </c>
    </row>
    <row r="32" customFormat="false" ht="15" hidden="false" customHeight="true" outlineLevel="0" collapsed="false">
      <c r="C32" s="83" t="s">
        <v>403</v>
      </c>
      <c r="E32" s="84" t="n">
        <f aca="false">SUM(E28:E31)</f>
        <v>32</v>
      </c>
      <c r="F32" s="23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2"/>
    <col collapsed="false" customWidth="true" hidden="false" outlineLevel="0" max="20" min="3" style="1" width="7"/>
  </cols>
  <sheetData>
    <row r="1" customFormat="false" ht="15.75" hidden="false" customHeight="true" outlineLevel="0" collapsed="false">
      <c r="B1" s="85" t="s">
        <v>405</v>
      </c>
    </row>
    <row r="2" customFormat="false" ht="15" hidden="false" customHeight="true" outlineLevel="0" collapsed="false">
      <c r="B2" s="23" t="s">
        <v>406</v>
      </c>
    </row>
    <row r="3" customFormat="false" ht="15" hidden="false" customHeight="true" outlineLevel="0" collapsed="false">
      <c r="B3" s="26" t="s">
        <v>407</v>
      </c>
      <c r="C3" s="86" t="s">
        <v>408</v>
      </c>
      <c r="D3" s="86" t="s">
        <v>409</v>
      </c>
      <c r="E3" s="86" t="s">
        <v>410</v>
      </c>
      <c r="F3" s="86" t="s">
        <v>411</v>
      </c>
      <c r="G3" s="86" t="s">
        <v>412</v>
      </c>
      <c r="H3" s="86" t="s">
        <v>413</v>
      </c>
      <c r="I3" s="86" t="s">
        <v>414</v>
      </c>
      <c r="J3" s="86" t="s">
        <v>415</v>
      </c>
      <c r="K3" s="86" t="s">
        <v>416</v>
      </c>
      <c r="L3" s="86" t="s">
        <v>417</v>
      </c>
      <c r="M3" s="86" t="s">
        <v>418</v>
      </c>
      <c r="N3" s="86" t="s">
        <v>419</v>
      </c>
      <c r="O3" s="86" t="s">
        <v>420</v>
      </c>
      <c r="P3" s="86" t="s">
        <v>421</v>
      </c>
      <c r="Q3" s="86" t="s">
        <v>422</v>
      </c>
      <c r="R3" s="86" t="s">
        <v>423</v>
      </c>
      <c r="S3" s="86" t="s">
        <v>424</v>
      </c>
      <c r="T3" s="86" t="s">
        <v>425</v>
      </c>
    </row>
    <row r="4" customFormat="false" ht="15" hidden="false" customHeight="true" outlineLevel="0" collapsed="false">
      <c r="B4" s="72" t="s">
        <v>426</v>
      </c>
      <c r="C4" s="87" t="n">
        <v>0</v>
      </c>
      <c r="D4" s="87" t="n">
        <v>0</v>
      </c>
      <c r="E4" s="87" t="n">
        <v>0</v>
      </c>
      <c r="F4" s="87" t="n">
        <v>0</v>
      </c>
      <c r="G4" s="87" t="n">
        <f aca="false">Assumptions!$C$78</f>
        <v>7</v>
      </c>
      <c r="H4" s="87" t="n">
        <f aca="false">G4+Assumptions!$C$79</f>
        <v>12</v>
      </c>
      <c r="I4" s="87" t="n">
        <f aca="false">H4+Assumptions!$C$79</f>
        <v>17</v>
      </c>
      <c r="J4" s="87" t="n">
        <f aca="false">I4+Assumptions!$C$79</f>
        <v>22</v>
      </c>
      <c r="K4" s="87" t="n">
        <f aca="false">J4+Assumptions!$C$79</f>
        <v>27</v>
      </c>
      <c r="L4" s="87" t="n">
        <f aca="false">K4+Assumptions!$C$79</f>
        <v>32</v>
      </c>
      <c r="M4" s="87" t="n">
        <f aca="false">L4+Assumptions!$C$79</f>
        <v>37</v>
      </c>
      <c r="N4" s="87" t="n">
        <f aca="false">M4+Assumptions!$C$79</f>
        <v>42</v>
      </c>
      <c r="O4" s="87" t="n">
        <f aca="false">N4+Assumptions!$C$79</f>
        <v>47</v>
      </c>
      <c r="P4" s="87" t="n">
        <f aca="false">O4+Assumptions!$C$79</f>
        <v>52</v>
      </c>
      <c r="Q4" s="87" t="n">
        <f aca="false">P4+Assumptions!$C$79</f>
        <v>57</v>
      </c>
      <c r="R4" s="87" t="n">
        <f aca="false">Q4+Assumptions!$C$79</f>
        <v>62</v>
      </c>
      <c r="S4" s="87" t="n">
        <f aca="false">R4+Assumptions!$C$79</f>
        <v>67</v>
      </c>
      <c r="T4" s="87" t="n">
        <f aca="false">S4+Assumptions!$C$79</f>
        <v>72</v>
      </c>
    </row>
    <row r="5" customFormat="false" ht="15" hidden="false" customHeight="true" outlineLevel="0" collapsed="false">
      <c r="B5" s="72" t="s">
        <v>427</v>
      </c>
      <c r="C5" s="87" t="n">
        <v>0</v>
      </c>
      <c r="D5" s="87" t="n">
        <v>0</v>
      </c>
      <c r="E5" s="87" t="n">
        <v>0</v>
      </c>
      <c r="F5" s="87" t="n">
        <v>0</v>
      </c>
      <c r="G5" s="87" t="n">
        <f aca="false">ROUND(G4*Assumptions!$C$80*Assumptions!$C$81,0)</f>
        <v>11</v>
      </c>
      <c r="H5" s="87" t="n">
        <f aca="false">ROUND(H4*Assumptions!$C$80*Assumptions!$C$81,0)</f>
        <v>18</v>
      </c>
      <c r="I5" s="87" t="n">
        <f aca="false">ROUND(I4*Assumptions!$C$80*Assumptions!$C$81,0)</f>
        <v>26</v>
      </c>
      <c r="J5" s="87" t="n">
        <f aca="false">ROUND(J4*Assumptions!$C$80*Assumptions!$C$81,0)</f>
        <v>33</v>
      </c>
      <c r="K5" s="87" t="n">
        <f aca="false">ROUND(K4*Assumptions!$C$80*Assumptions!$C$81,0)</f>
        <v>41</v>
      </c>
      <c r="L5" s="87" t="n">
        <f aca="false">ROUND(L4*Assumptions!$C$80*Assumptions!$C$81,0)</f>
        <v>48</v>
      </c>
      <c r="M5" s="87" t="n">
        <f aca="false">ROUND(M4*Assumptions!$C$80*Assumptions!$C$81,0)</f>
        <v>56</v>
      </c>
      <c r="N5" s="87" t="n">
        <f aca="false">ROUND(N4*Assumptions!$C$80*Assumptions!$C$81,0)</f>
        <v>63</v>
      </c>
      <c r="O5" s="87" t="n">
        <f aca="false">ROUND(O4*Assumptions!$C$80*Assumptions!$C$81,0)</f>
        <v>71</v>
      </c>
      <c r="P5" s="87" t="n">
        <f aca="false">ROUND(P4*Assumptions!$C$80*Assumptions!$C$81,0)</f>
        <v>78</v>
      </c>
      <c r="Q5" s="87" t="n">
        <f aca="false">ROUND(Q4*Assumptions!$C$80*Assumptions!$C$81,0)</f>
        <v>86</v>
      </c>
      <c r="R5" s="87" t="n">
        <f aca="false">ROUND(R4*Assumptions!$C$80*Assumptions!$C$81,0)</f>
        <v>93</v>
      </c>
      <c r="S5" s="87" t="n">
        <f aca="false">ROUND(S4*Assumptions!$C$80*Assumptions!$C$81,0)</f>
        <v>101</v>
      </c>
      <c r="T5" s="87" t="n">
        <f aca="false">ROUND(T4*Assumptions!$C$80*Assumptions!$C$81,0)</f>
        <v>108</v>
      </c>
    </row>
    <row r="6" customFormat="false" ht="15" hidden="false" customHeight="true" outlineLevel="0" collapsed="false">
      <c r="B6" s="72" t="s">
        <v>428</v>
      </c>
      <c r="C6" s="87" t="n">
        <v>0</v>
      </c>
      <c r="D6" s="87" t="n">
        <v>0</v>
      </c>
      <c r="E6" s="87" t="n">
        <v>0</v>
      </c>
      <c r="F6" s="87" t="n">
        <v>0</v>
      </c>
      <c r="G6" s="87" t="n">
        <f aca="false">ROUND(Assumptions!$C$70/Assumptions!$C$14,0)</f>
        <v>25</v>
      </c>
      <c r="H6" s="87" t="n">
        <f aca="false">ROUND(Assumptions!$C$70/Assumptions!$C$14,0)</f>
        <v>25</v>
      </c>
      <c r="I6" s="87" t="n">
        <f aca="false">ROUND(Assumptions!$C$70/Assumptions!$C$14,0)</f>
        <v>25</v>
      </c>
      <c r="J6" s="87" t="n">
        <f aca="false">ROUND(Assumptions!$C$70/Assumptions!$C$14,0)</f>
        <v>25</v>
      </c>
      <c r="K6" s="87" t="n">
        <f aca="false">ROUND(Assumptions!$C$70/Assumptions!$C$14,0)</f>
        <v>25</v>
      </c>
      <c r="L6" s="87" t="n">
        <f aca="false">ROUND(Assumptions!$C$70/Assumptions!$C$14,0)</f>
        <v>25</v>
      </c>
      <c r="M6" s="87" t="n">
        <f aca="false">ROUND(Assumptions!$C$70/Assumptions!$C$14,0)</f>
        <v>25</v>
      </c>
      <c r="N6" s="87" t="n">
        <f aca="false">ROUND(Assumptions!$C$70/Assumptions!$C$14,0)</f>
        <v>25</v>
      </c>
      <c r="O6" s="87" t="n">
        <f aca="false">ROUND(Assumptions!$C$70/Assumptions!$C$14,0)</f>
        <v>25</v>
      </c>
      <c r="P6" s="87" t="n">
        <f aca="false">ROUND(Assumptions!$C$70/Assumptions!$C$14,0)</f>
        <v>25</v>
      </c>
      <c r="Q6" s="87" t="n">
        <f aca="false">ROUND(Assumptions!$C$70/Assumptions!$C$14,0)</f>
        <v>25</v>
      </c>
      <c r="R6" s="87" t="n">
        <f aca="false">ROUND(Assumptions!$C$70/Assumptions!$C$14,0)</f>
        <v>25</v>
      </c>
      <c r="S6" s="87" t="n">
        <f aca="false">ROUND(Assumptions!$C$70/Assumptions!$C$14,0)</f>
        <v>25</v>
      </c>
      <c r="T6" s="87" t="n">
        <f aca="false">ROUND(Assumptions!$C$70/Assumptions!$C$14,0)</f>
        <v>25</v>
      </c>
    </row>
    <row r="7" customFormat="false" ht="15" hidden="false" customHeight="true" outlineLevel="0" collapsed="false">
      <c r="B7" s="71" t="s">
        <v>429</v>
      </c>
      <c r="C7" s="87" t="n">
        <f aca="false">C5+C6</f>
        <v>0</v>
      </c>
      <c r="D7" s="87" t="n">
        <f aca="false">D5+D6</f>
        <v>0</v>
      </c>
      <c r="E7" s="87" t="n">
        <f aca="false">E5+E6</f>
        <v>0</v>
      </c>
      <c r="F7" s="87" t="n">
        <f aca="false">F5+F6</f>
        <v>0</v>
      </c>
      <c r="G7" s="87" t="n">
        <f aca="false">G5+G6</f>
        <v>36</v>
      </c>
      <c r="H7" s="87" t="n">
        <f aca="false">H5+H6</f>
        <v>43</v>
      </c>
      <c r="I7" s="87" t="n">
        <f aca="false">I5+I6</f>
        <v>51</v>
      </c>
      <c r="J7" s="87" t="n">
        <f aca="false">J5+J6</f>
        <v>58</v>
      </c>
      <c r="K7" s="87" t="n">
        <f aca="false">K5+K6</f>
        <v>66</v>
      </c>
      <c r="L7" s="87" t="n">
        <f aca="false">L5+L6</f>
        <v>73</v>
      </c>
      <c r="M7" s="87" t="n">
        <f aca="false">M5+M6</f>
        <v>81</v>
      </c>
      <c r="N7" s="87" t="n">
        <f aca="false">N5+N6</f>
        <v>88</v>
      </c>
      <c r="O7" s="87" t="n">
        <f aca="false">O5+O6</f>
        <v>96</v>
      </c>
      <c r="P7" s="87" t="n">
        <f aca="false">P5+P6</f>
        <v>103</v>
      </c>
      <c r="Q7" s="87" t="n">
        <f aca="false">Q5+Q6</f>
        <v>111</v>
      </c>
      <c r="R7" s="87" t="n">
        <f aca="false">R5+R6</f>
        <v>118</v>
      </c>
      <c r="S7" s="87" t="n">
        <f aca="false">S5+S6</f>
        <v>126</v>
      </c>
      <c r="T7" s="87" t="n">
        <f aca="false">T5+T6</f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20" min="3" style="1" width="12"/>
  </cols>
  <sheetData>
    <row r="1" customFormat="false" ht="15.75" hidden="false" customHeight="true" outlineLevel="0" collapsed="false">
      <c r="B1" s="88" t="s">
        <v>430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V1" s="89" t="s">
        <v>431</v>
      </c>
    </row>
    <row r="2" customFormat="false" ht="15.75" hidden="false" customHeight="true" outlineLevel="0" collapsed="false">
      <c r="B2" s="90" t="s">
        <v>432</v>
      </c>
      <c r="C2" s="91" t="s">
        <v>408</v>
      </c>
      <c r="D2" s="91" t="s">
        <v>409</v>
      </c>
      <c r="E2" s="91" t="s">
        <v>410</v>
      </c>
      <c r="F2" s="91" t="s">
        <v>411</v>
      </c>
      <c r="G2" s="91" t="s">
        <v>412</v>
      </c>
      <c r="H2" s="91" t="s">
        <v>413</v>
      </c>
      <c r="I2" s="91" t="s">
        <v>414</v>
      </c>
      <c r="J2" s="91" t="s">
        <v>415</v>
      </c>
      <c r="K2" s="91" t="s">
        <v>416</v>
      </c>
      <c r="L2" s="91" t="s">
        <v>417</v>
      </c>
      <c r="M2" s="91" t="s">
        <v>418</v>
      </c>
      <c r="N2" s="91" t="s">
        <v>419</v>
      </c>
      <c r="O2" s="91" t="s">
        <v>420</v>
      </c>
      <c r="P2" s="91" t="s">
        <v>421</v>
      </c>
      <c r="Q2" s="91" t="s">
        <v>422</v>
      </c>
      <c r="R2" s="91" t="s">
        <v>423</v>
      </c>
      <c r="S2" s="91" t="s">
        <v>424</v>
      </c>
      <c r="T2" s="91" t="s">
        <v>425</v>
      </c>
      <c r="V2" s="89" t="s">
        <v>433</v>
      </c>
    </row>
    <row r="3" customFormat="false" ht="15" hidden="false" customHeight="true" outlineLevel="0" collapsed="false">
      <c r="B3" s="54" t="s">
        <v>434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V3" s="89" t="s">
        <v>435</v>
      </c>
    </row>
    <row r="4" customFormat="false" ht="15" hidden="false" customHeight="true" outlineLevel="0" collapsed="false">
      <c r="B4" s="55" t="s">
        <v>436</v>
      </c>
      <c r="C4" s="92" t="n">
        <f aca="false">GrowthEngine!C7</f>
        <v>0</v>
      </c>
      <c r="D4" s="92" t="n">
        <f aca="false">GrowthEngine!D7</f>
        <v>0</v>
      </c>
      <c r="E4" s="92" t="n">
        <f aca="false">GrowthEngine!E7</f>
        <v>0</v>
      </c>
      <c r="F4" s="92" t="n">
        <f aca="false">GrowthEngine!F7</f>
        <v>0</v>
      </c>
      <c r="G4" s="93" t="n">
        <f aca="false">GrowthEngine!G7</f>
        <v>36</v>
      </c>
      <c r="H4" s="93" t="n">
        <f aca="false">GrowthEngine!H7</f>
        <v>43</v>
      </c>
      <c r="I4" s="93" t="n">
        <f aca="false">GrowthEngine!I7</f>
        <v>51</v>
      </c>
      <c r="J4" s="94" t="n">
        <f aca="false">GrowthEngine!J7</f>
        <v>58</v>
      </c>
      <c r="K4" s="94" t="n">
        <f aca="false">GrowthEngine!K7</f>
        <v>66</v>
      </c>
      <c r="L4" s="94" t="n">
        <f aca="false">GrowthEngine!L7</f>
        <v>73</v>
      </c>
      <c r="M4" s="94" t="n">
        <f aca="false">GrowthEngine!M7</f>
        <v>81</v>
      </c>
      <c r="N4" s="94" t="n">
        <f aca="false">GrowthEngine!N7</f>
        <v>88</v>
      </c>
      <c r="O4" s="94" t="n">
        <f aca="false">GrowthEngine!O7</f>
        <v>96</v>
      </c>
      <c r="P4" s="94" t="n">
        <f aca="false">GrowthEngine!P7</f>
        <v>103</v>
      </c>
      <c r="Q4" s="94" t="n">
        <f aca="false">GrowthEngine!Q7</f>
        <v>111</v>
      </c>
      <c r="R4" s="94" t="n">
        <f aca="false">GrowthEngine!R7</f>
        <v>118</v>
      </c>
      <c r="S4" s="94" t="n">
        <f aca="false">GrowthEngine!S7</f>
        <v>126</v>
      </c>
      <c r="T4" s="94" t="n">
        <f aca="false">GrowthEngine!T7</f>
        <v>133</v>
      </c>
      <c r="V4" s="89" t="s">
        <v>437</v>
      </c>
    </row>
    <row r="5" customFormat="false" ht="15" hidden="false" customHeight="true" outlineLevel="0" collapsed="false">
      <c r="B5" s="8" t="s">
        <v>438</v>
      </c>
      <c r="C5" s="95" t="n">
        <f aca="false">-ROUND(C4*Assumptions!$C$6,0)</f>
        <v>-0</v>
      </c>
      <c r="D5" s="95" t="n">
        <f aca="false">-ROUND(D4*Assumptions!$C$6,0)</f>
        <v>-0</v>
      </c>
      <c r="E5" s="95" t="n">
        <f aca="false">-ROUND(E4*Assumptions!$C$6,0)</f>
        <v>-0</v>
      </c>
      <c r="F5" s="95" t="n">
        <f aca="false">-ROUND(F4*Assumptions!$C$6,0)</f>
        <v>-0</v>
      </c>
      <c r="G5" s="95" t="n">
        <f aca="false">-ROUND(G4*Assumptions!$C$6,0)</f>
        <v>-4</v>
      </c>
      <c r="H5" s="95" t="n">
        <f aca="false">-ROUND(H4*Assumptions!$C$6,0)</f>
        <v>-4</v>
      </c>
      <c r="I5" s="95" t="n">
        <f aca="false">-ROUND(I4*Assumptions!$C$6,0)</f>
        <v>-5</v>
      </c>
      <c r="J5" s="95" t="n">
        <f aca="false">-ROUND(J4*Assumptions!$C$6,0)</f>
        <v>-6</v>
      </c>
      <c r="K5" s="95" t="n">
        <f aca="false">-ROUND(K4*Assumptions!$C$6,0)</f>
        <v>-7</v>
      </c>
      <c r="L5" s="95" t="n">
        <f aca="false">-ROUND(L4*Assumptions!$C$6,0)</f>
        <v>-7</v>
      </c>
      <c r="M5" s="95" t="n">
        <f aca="false">-ROUND(M4*Assumptions!$C$6,0)</f>
        <v>-8</v>
      </c>
      <c r="N5" s="95" t="n">
        <f aca="false">-ROUND(N4*Assumptions!$C$6,0)</f>
        <v>-9</v>
      </c>
      <c r="O5" s="95" t="n">
        <f aca="false">-ROUND(O4*Assumptions!$C$6,0)</f>
        <v>-10</v>
      </c>
      <c r="P5" s="95" t="n">
        <f aca="false">-ROUND(P4*Assumptions!$C$6,0)</f>
        <v>-10</v>
      </c>
      <c r="Q5" s="95" t="n">
        <f aca="false">-ROUND(Q4*Assumptions!$C$6,0)</f>
        <v>-11</v>
      </c>
      <c r="R5" s="95" t="n">
        <f aca="false">-ROUND(R4*Assumptions!$C$6,0)</f>
        <v>-12</v>
      </c>
      <c r="S5" s="95" t="n">
        <f aca="false">-ROUND(S4*Assumptions!$C$6,0)</f>
        <v>-13</v>
      </c>
      <c r="T5" s="95" t="n">
        <f aca="false">-ROUND(T4*Assumptions!$C$6,0)</f>
        <v>-13</v>
      </c>
    </row>
    <row r="6" customFormat="false" ht="15" hidden="false" customHeight="true" outlineLevel="0" collapsed="false">
      <c r="B6" s="55" t="s">
        <v>439</v>
      </c>
      <c r="C6" s="96" t="n">
        <f aca="false">C4+C5</f>
        <v>0</v>
      </c>
      <c r="D6" s="96" t="n">
        <f aca="false">D4+D5</f>
        <v>0</v>
      </c>
      <c r="E6" s="96" t="n">
        <f aca="false">E4+E5</f>
        <v>0</v>
      </c>
      <c r="F6" s="96" t="n">
        <f aca="false">F4+F5</f>
        <v>0</v>
      </c>
      <c r="G6" s="96" t="n">
        <f aca="false">G4+G5</f>
        <v>32</v>
      </c>
      <c r="H6" s="96" t="n">
        <f aca="false">H4+H5</f>
        <v>39</v>
      </c>
      <c r="I6" s="96" t="n">
        <f aca="false">I4+I5</f>
        <v>46</v>
      </c>
      <c r="J6" s="96" t="n">
        <f aca="false">J4+J5</f>
        <v>52</v>
      </c>
      <c r="K6" s="96" t="n">
        <f aca="false">K4+K5</f>
        <v>59</v>
      </c>
      <c r="L6" s="96" t="n">
        <f aca="false">L4+L5</f>
        <v>66</v>
      </c>
      <c r="M6" s="96" t="n">
        <f aca="false">M4+M5</f>
        <v>73</v>
      </c>
      <c r="N6" s="96" t="n">
        <f aca="false">N4+N5</f>
        <v>79</v>
      </c>
      <c r="O6" s="96" t="n">
        <f aca="false">O4+O5</f>
        <v>86</v>
      </c>
      <c r="P6" s="96" t="n">
        <f aca="false">P4+P5</f>
        <v>93</v>
      </c>
      <c r="Q6" s="96" t="n">
        <f aca="false">Q4+Q5</f>
        <v>100</v>
      </c>
      <c r="R6" s="96" t="n">
        <f aca="false">R4+R5</f>
        <v>106</v>
      </c>
      <c r="S6" s="96" t="n">
        <f aca="false">S4+S5</f>
        <v>113</v>
      </c>
      <c r="T6" s="96" t="n">
        <f aca="false">T4+T5</f>
        <v>120</v>
      </c>
    </row>
    <row r="7" customFormat="false" ht="15" hidden="false" customHeight="true" outlineLevel="0" collapsed="false">
      <c r="B7" s="55" t="s">
        <v>440</v>
      </c>
      <c r="C7" s="95" t="n">
        <f aca="false">IFERROR(ROUND(C6*(GrowthEngine!C5/GrowthEngine!C7),0),0)</f>
        <v>0</v>
      </c>
      <c r="D7" s="95" t="n">
        <f aca="false">IFERROR(ROUND(D6*(GrowthEngine!D5/GrowthEngine!D7),0),0)</f>
        <v>0</v>
      </c>
      <c r="E7" s="95" t="n">
        <f aca="false">IFERROR(ROUND(E6*(GrowthEngine!E5/GrowthEngine!E7),0),0)</f>
        <v>0</v>
      </c>
      <c r="F7" s="95" t="n">
        <f aca="false">IFERROR(ROUND(F6*(GrowthEngine!F5/GrowthEngine!F7),0),0)</f>
        <v>0</v>
      </c>
      <c r="G7" s="95" t="n">
        <f aca="false">IFERROR(ROUND(G6*(GrowthEngine!G5/GrowthEngine!G7),0),0)</f>
        <v>10</v>
      </c>
      <c r="H7" s="95" t="n">
        <f aca="false">IFERROR(ROUND(H6*(GrowthEngine!H5/GrowthEngine!H7),0),0)</f>
        <v>16</v>
      </c>
      <c r="I7" s="95" t="n">
        <f aca="false">IFERROR(ROUND(I6*(GrowthEngine!I5/GrowthEngine!I7),0),0)</f>
        <v>23</v>
      </c>
      <c r="J7" s="95" t="n">
        <f aca="false">IFERROR(ROUND(J6*(GrowthEngine!J5/GrowthEngine!J7),0),0)</f>
        <v>30</v>
      </c>
      <c r="K7" s="95" t="n">
        <f aca="false">IFERROR(ROUND(K6*(GrowthEngine!K5/GrowthEngine!K7),0),0)</f>
        <v>37</v>
      </c>
      <c r="L7" s="95" t="n">
        <f aca="false">IFERROR(ROUND(L6*(GrowthEngine!L5/GrowthEngine!L7),0),0)</f>
        <v>43</v>
      </c>
      <c r="M7" s="95" t="n">
        <f aca="false">IFERROR(ROUND(M6*(GrowthEngine!M5/GrowthEngine!M7),0),0)</f>
        <v>50</v>
      </c>
      <c r="N7" s="95" t="n">
        <f aca="false">IFERROR(ROUND(N6*(GrowthEngine!N5/GrowthEngine!N7),0),0)</f>
        <v>57</v>
      </c>
      <c r="O7" s="95" t="n">
        <f aca="false">IFERROR(ROUND(O6*(GrowthEngine!O5/GrowthEngine!O7),0),0)</f>
        <v>64</v>
      </c>
      <c r="P7" s="95" t="n">
        <f aca="false">IFERROR(ROUND(P6*(GrowthEngine!P5/GrowthEngine!P7),0),0)</f>
        <v>70</v>
      </c>
      <c r="Q7" s="95" t="n">
        <f aca="false">IFERROR(ROUND(Q6*(GrowthEngine!Q5/GrowthEngine!Q7),0),0)</f>
        <v>77</v>
      </c>
      <c r="R7" s="95" t="n">
        <f aca="false">IFERROR(ROUND(R6*(GrowthEngine!R5/GrowthEngine!R7),0),0)</f>
        <v>84</v>
      </c>
      <c r="S7" s="95" t="n">
        <f aca="false">IFERROR(ROUND(S6*(GrowthEngine!S5/GrowthEngine!S7),0),0)</f>
        <v>91</v>
      </c>
      <c r="T7" s="95" t="n">
        <f aca="false">IFERROR(ROUND(T6*(GrowthEngine!T5/GrowthEngine!T7),0),0)</f>
        <v>97</v>
      </c>
    </row>
    <row r="8" customFormat="false" ht="15" hidden="false" customHeight="true" outlineLevel="0" collapsed="false">
      <c r="B8" s="55" t="s">
        <v>441</v>
      </c>
      <c r="C8" s="95" t="n">
        <f aca="false">C6-C7</f>
        <v>0</v>
      </c>
      <c r="D8" s="95" t="n">
        <f aca="false">D6-D7</f>
        <v>0</v>
      </c>
      <c r="E8" s="95" t="n">
        <f aca="false">E6-E7</f>
        <v>0</v>
      </c>
      <c r="F8" s="95" t="n">
        <f aca="false">F6-F7</f>
        <v>0</v>
      </c>
      <c r="G8" s="95" t="n">
        <f aca="false">G6-G7</f>
        <v>22</v>
      </c>
      <c r="H8" s="95" t="n">
        <f aca="false">H6-H7</f>
        <v>23</v>
      </c>
      <c r="I8" s="95" t="n">
        <f aca="false">I6-I7</f>
        <v>23</v>
      </c>
      <c r="J8" s="95" t="n">
        <f aca="false">J6-J7</f>
        <v>22</v>
      </c>
      <c r="K8" s="95" t="n">
        <f aca="false">K6-K7</f>
        <v>22</v>
      </c>
      <c r="L8" s="95" t="n">
        <f aca="false">L6-L7</f>
        <v>23</v>
      </c>
      <c r="M8" s="95" t="n">
        <f aca="false">M6-M7</f>
        <v>23</v>
      </c>
      <c r="N8" s="95" t="n">
        <f aca="false">N6-N7</f>
        <v>22</v>
      </c>
      <c r="O8" s="95" t="n">
        <f aca="false">O6-O7</f>
        <v>22</v>
      </c>
      <c r="P8" s="95" t="n">
        <f aca="false">P6-P7</f>
        <v>23</v>
      </c>
      <c r="Q8" s="95" t="n">
        <f aca="false">Q6-Q7</f>
        <v>23</v>
      </c>
      <c r="R8" s="95" t="n">
        <f aca="false">R6-R7</f>
        <v>22</v>
      </c>
      <c r="S8" s="95" t="n">
        <f aca="false">S6-S7</f>
        <v>22</v>
      </c>
      <c r="T8" s="95" t="n">
        <f aca="false">T6-T7</f>
        <v>23</v>
      </c>
    </row>
    <row r="9" customFormat="false" ht="15" hidden="false" customHeight="true" outlineLevel="0" collapsed="false">
      <c r="B9" s="55" t="s">
        <v>442</v>
      </c>
      <c r="C9" s="95" t="n">
        <f aca="false">C6</f>
        <v>0</v>
      </c>
      <c r="D9" s="95" t="n">
        <f aca="false">C9+D6</f>
        <v>0</v>
      </c>
      <c r="E9" s="95" t="n">
        <f aca="false">D9+E6</f>
        <v>0</v>
      </c>
      <c r="F9" s="95" t="n">
        <f aca="false">E9+F6</f>
        <v>0</v>
      </c>
      <c r="G9" s="95" t="n">
        <f aca="false">F9+G6</f>
        <v>32</v>
      </c>
      <c r="H9" s="95" t="n">
        <f aca="false">G9+H6</f>
        <v>71</v>
      </c>
      <c r="I9" s="95" t="n">
        <f aca="false">H9+I6</f>
        <v>117</v>
      </c>
      <c r="J9" s="95" t="n">
        <f aca="false">I9+J6</f>
        <v>169</v>
      </c>
      <c r="K9" s="95" t="n">
        <f aca="false">J9+K6</f>
        <v>228</v>
      </c>
      <c r="L9" s="95" t="n">
        <f aca="false">K9+L6</f>
        <v>294</v>
      </c>
      <c r="M9" s="95" t="n">
        <f aca="false">L9+M6</f>
        <v>367</v>
      </c>
      <c r="N9" s="95" t="n">
        <f aca="false">M9+N6</f>
        <v>446</v>
      </c>
      <c r="O9" s="95" t="n">
        <f aca="false">N9+O6</f>
        <v>532</v>
      </c>
      <c r="P9" s="95" t="n">
        <f aca="false">O9+P6</f>
        <v>625</v>
      </c>
      <c r="Q9" s="95" t="n">
        <f aca="false">P9+Q6</f>
        <v>725</v>
      </c>
      <c r="R9" s="95" t="n">
        <f aca="false">Q9+R6</f>
        <v>831</v>
      </c>
      <c r="S9" s="95" t="n">
        <f aca="false">R9+S6</f>
        <v>944</v>
      </c>
      <c r="T9" s="95" t="n">
        <f aca="false">S9+T6</f>
        <v>1064</v>
      </c>
    </row>
    <row r="11" customFormat="false" ht="15" hidden="false" customHeight="true" outlineLevel="0" collapsed="false">
      <c r="B11" s="54" t="s">
        <v>443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</row>
    <row r="12" customFormat="false" ht="15" hidden="false" customHeight="true" outlineLevel="0" collapsed="false">
      <c r="B12" s="55" t="s">
        <v>444</v>
      </c>
      <c r="C12" s="97" t="n">
        <f aca="false">C6*Assumptions!$C$4</f>
        <v>0</v>
      </c>
      <c r="D12" s="97" t="n">
        <f aca="false">D6*Assumptions!$C$4</f>
        <v>0</v>
      </c>
      <c r="E12" s="97" t="n">
        <f aca="false">E6*Assumptions!$C$4</f>
        <v>0</v>
      </c>
      <c r="F12" s="97" t="n">
        <f aca="false">F6*Assumptions!$C$4</f>
        <v>0</v>
      </c>
      <c r="G12" s="97" t="n">
        <f aca="false">G6*Assumptions!$C$4</f>
        <v>1568</v>
      </c>
      <c r="H12" s="97" t="n">
        <f aca="false">H6*Assumptions!$C$4</f>
        <v>1911</v>
      </c>
      <c r="I12" s="97" t="n">
        <f aca="false">I6*Assumptions!$C$4</f>
        <v>2254</v>
      </c>
      <c r="J12" s="97" t="n">
        <f aca="false">J6*Assumptions!$C$4</f>
        <v>2548</v>
      </c>
      <c r="K12" s="97" t="n">
        <f aca="false">K6*Assumptions!$C$4</f>
        <v>2891</v>
      </c>
      <c r="L12" s="97" t="n">
        <f aca="false">L6*Assumptions!$C$4</f>
        <v>3234</v>
      </c>
      <c r="M12" s="97" t="n">
        <f aca="false">M6*Assumptions!$C$4</f>
        <v>3577</v>
      </c>
      <c r="N12" s="97" t="n">
        <f aca="false">N6*Assumptions!$C$4</f>
        <v>3871</v>
      </c>
      <c r="O12" s="97" t="n">
        <f aca="false">O6*Assumptions!$C$4</f>
        <v>4214</v>
      </c>
      <c r="P12" s="97" t="n">
        <f aca="false">P6*Assumptions!$C$4</f>
        <v>4557</v>
      </c>
      <c r="Q12" s="97" t="n">
        <f aca="false">Q6*Assumptions!$C$4</f>
        <v>4900</v>
      </c>
      <c r="R12" s="97" t="n">
        <f aca="false">R6*Assumptions!$C$4</f>
        <v>5194</v>
      </c>
      <c r="S12" s="97" t="n">
        <f aca="false">S6*Assumptions!$C$4</f>
        <v>5537</v>
      </c>
      <c r="T12" s="97" t="n">
        <f aca="false">T6*Assumptions!$C$4</f>
        <v>5880</v>
      </c>
    </row>
    <row r="13" customFormat="false" ht="15" hidden="false" customHeight="true" outlineLevel="0" collapsed="false">
      <c r="B13" s="55" t="s">
        <v>445</v>
      </c>
      <c r="C13" s="97" t="n">
        <f aca="false">-((C4*Assumptions!$C$4*Assumptions!$C$10)+(C4*Assumptions!$C$11))</f>
        <v>-0</v>
      </c>
      <c r="D13" s="97" t="n">
        <f aca="false">-((D4*Assumptions!$C$4*Assumptions!$C$10)+(D4*Assumptions!$C$11))</f>
        <v>-0</v>
      </c>
      <c r="E13" s="97" t="n">
        <f aca="false">-((E4*Assumptions!$C$4*Assumptions!$C$10)+(E4*Assumptions!$C$11))</f>
        <v>-0</v>
      </c>
      <c r="F13" s="97" t="n">
        <f aca="false">-((F4*Assumptions!$C$4*Assumptions!$C$10)+(F4*Assumptions!$C$11))</f>
        <v>-0</v>
      </c>
      <c r="G13" s="97" t="n">
        <f aca="false">-((G4*Assumptions!$C$4*Assumptions!$C$10)+(G4*Assumptions!$C$11))</f>
        <v>-61.956</v>
      </c>
      <c r="H13" s="97" t="n">
        <f aca="false">-((H4*Assumptions!$C$4*Assumptions!$C$10)+(H4*Assumptions!$C$11))</f>
        <v>-74.003</v>
      </c>
      <c r="I13" s="97" t="n">
        <f aca="false">-((I4*Assumptions!$C$4*Assumptions!$C$10)+(I4*Assumptions!$C$11))</f>
        <v>-87.771</v>
      </c>
      <c r="J13" s="97" t="n">
        <f aca="false">-((J4*Assumptions!$C$4*Assumptions!$C$10)+(J4*Assumptions!$C$11))</f>
        <v>-99.818</v>
      </c>
      <c r="K13" s="97" t="n">
        <f aca="false">-((K4*Assumptions!$C$4*Assumptions!$C$10)+(K4*Assumptions!$C$11))</f>
        <v>-113.586</v>
      </c>
      <c r="L13" s="97" t="n">
        <f aca="false">-((L4*Assumptions!$C$4*Assumptions!$C$10)+(L4*Assumptions!$C$11))</f>
        <v>-125.633</v>
      </c>
      <c r="M13" s="97" t="n">
        <f aca="false">-((M4*Assumptions!$C$4*Assumptions!$C$10)+(M4*Assumptions!$C$11))</f>
        <v>-139.401</v>
      </c>
      <c r="N13" s="97" t="n">
        <f aca="false">-((N4*Assumptions!$C$4*Assumptions!$C$10)+(N4*Assumptions!$C$11))</f>
        <v>-151.448</v>
      </c>
      <c r="O13" s="97" t="n">
        <f aca="false">-((O4*Assumptions!$C$4*Assumptions!$C$10)+(O4*Assumptions!$C$11))</f>
        <v>-165.216</v>
      </c>
      <c r="P13" s="97" t="n">
        <f aca="false">-((P4*Assumptions!$C$4*Assumptions!$C$10)+(P4*Assumptions!$C$11))</f>
        <v>-177.263</v>
      </c>
      <c r="Q13" s="97" t="n">
        <f aca="false">-((Q4*Assumptions!$C$4*Assumptions!$C$10)+(Q4*Assumptions!$C$11))</f>
        <v>-191.031</v>
      </c>
      <c r="R13" s="97" t="n">
        <f aca="false">-((R4*Assumptions!$C$4*Assumptions!$C$10)+(R4*Assumptions!$C$11))</f>
        <v>-203.078</v>
      </c>
      <c r="S13" s="97" t="n">
        <f aca="false">-((S4*Assumptions!$C$4*Assumptions!$C$10)+(S4*Assumptions!$C$11))</f>
        <v>-216.846</v>
      </c>
      <c r="T13" s="97" t="n">
        <f aca="false">-((T4*Assumptions!$C$4*Assumptions!$C$10)+(T4*Assumptions!$C$11))</f>
        <v>-228.893</v>
      </c>
    </row>
    <row r="14" customFormat="false" ht="15" hidden="false" customHeight="true" outlineLevel="0" collapsed="false">
      <c r="B14" s="55" t="s">
        <v>446</v>
      </c>
      <c r="C14" s="98" t="n">
        <f aca="false">C12+C13</f>
        <v>0</v>
      </c>
      <c r="D14" s="98" t="n">
        <f aca="false">D12+D13</f>
        <v>0</v>
      </c>
      <c r="E14" s="98" t="n">
        <f aca="false">E12+E13</f>
        <v>0</v>
      </c>
      <c r="F14" s="98" t="n">
        <f aca="false">F12+F13</f>
        <v>0</v>
      </c>
      <c r="G14" s="98" t="n">
        <f aca="false">G12+G13</f>
        <v>1506.044</v>
      </c>
      <c r="H14" s="98" t="n">
        <f aca="false">H12+H13</f>
        <v>1836.997</v>
      </c>
      <c r="I14" s="98" t="n">
        <f aca="false">I12+I13</f>
        <v>2166.229</v>
      </c>
      <c r="J14" s="98" t="n">
        <f aca="false">J12+J13</f>
        <v>2448.182</v>
      </c>
      <c r="K14" s="98" t="n">
        <f aca="false">K12+K13</f>
        <v>2777.414</v>
      </c>
      <c r="L14" s="98" t="n">
        <f aca="false">L12+L13</f>
        <v>3108.367</v>
      </c>
      <c r="M14" s="98" t="n">
        <f aca="false">M12+M13</f>
        <v>3437.599</v>
      </c>
      <c r="N14" s="98" t="n">
        <f aca="false">N12+N13</f>
        <v>3719.552</v>
      </c>
      <c r="O14" s="98" t="n">
        <f aca="false">O12+O13</f>
        <v>4048.784</v>
      </c>
      <c r="P14" s="98" t="n">
        <f aca="false">P12+P13</f>
        <v>4379.737</v>
      </c>
      <c r="Q14" s="98" t="n">
        <f aca="false">Q12+Q13</f>
        <v>4708.969</v>
      </c>
      <c r="R14" s="98" t="n">
        <f aca="false">R12+R13</f>
        <v>4990.922</v>
      </c>
      <c r="S14" s="98" t="n">
        <f aca="false">S12+S13</f>
        <v>5320.154</v>
      </c>
      <c r="T14" s="98" t="n">
        <f aca="false">T12+T13</f>
        <v>5651.107</v>
      </c>
    </row>
  </sheetData>
  <mergeCells count="3">
    <mergeCell ref="B1:T1"/>
    <mergeCell ref="B3:T3"/>
    <mergeCell ref="B11:T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20" min="3" style="1" width="12"/>
  </cols>
  <sheetData>
    <row r="1" customFormat="false" ht="15.75" hidden="false" customHeight="true" outlineLevel="0" collapsed="false">
      <c r="B1" s="88" t="s">
        <v>447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V1" s="89" t="s">
        <v>448</v>
      </c>
    </row>
    <row r="2" customFormat="false" ht="15.75" hidden="false" customHeight="true" outlineLevel="0" collapsed="false">
      <c r="B2" s="90" t="s">
        <v>432</v>
      </c>
      <c r="C2" s="91" t="s">
        <v>408</v>
      </c>
      <c r="D2" s="91" t="s">
        <v>409</v>
      </c>
      <c r="E2" s="91" t="s">
        <v>410</v>
      </c>
      <c r="F2" s="91" t="s">
        <v>411</v>
      </c>
      <c r="G2" s="91" t="s">
        <v>412</v>
      </c>
      <c r="H2" s="91" t="s">
        <v>413</v>
      </c>
      <c r="I2" s="91" t="s">
        <v>414</v>
      </c>
      <c r="J2" s="91" t="s">
        <v>415</v>
      </c>
      <c r="K2" s="91" t="s">
        <v>416</v>
      </c>
      <c r="L2" s="91" t="s">
        <v>417</v>
      </c>
      <c r="M2" s="91" t="s">
        <v>418</v>
      </c>
      <c r="N2" s="91" t="s">
        <v>419</v>
      </c>
      <c r="O2" s="91" t="s">
        <v>420</v>
      </c>
      <c r="P2" s="91" t="s">
        <v>421</v>
      </c>
      <c r="Q2" s="91" t="s">
        <v>422</v>
      </c>
      <c r="R2" s="91" t="s">
        <v>423</v>
      </c>
      <c r="S2" s="91" t="s">
        <v>424</v>
      </c>
      <c r="T2" s="91" t="s">
        <v>425</v>
      </c>
    </row>
    <row r="3" customFormat="false" ht="15" hidden="false" customHeight="true" outlineLevel="0" collapsed="false">
      <c r="B3" s="54" t="s">
        <v>449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</row>
    <row r="4" customFormat="false" ht="15" hidden="false" customHeight="true" outlineLevel="0" collapsed="false">
      <c r="B4" s="55" t="s">
        <v>450</v>
      </c>
      <c r="C4" s="99" t="n">
        <f aca="false">IFERROR((Assumptions!$C$30*Assumptions!$C$31)*((Assumptions!$C$34/1000*Assumptions!$C$32)+(Assumptions!$C$35/1000*Assumptions!$C$33)+(Assumptions!$C$37/1000000*Assumptions!$C$36)),"?")</f>
        <v>0.064128</v>
      </c>
      <c r="D4" s="99" t="n">
        <f aca="false">IFERROR((Assumptions!$C$30*Assumptions!$C$31)*((Assumptions!$C$34/1000*Assumptions!$C$32)+(Assumptions!$C$35/1000*Assumptions!$C$33)+(Assumptions!$C$37/1000000*Assumptions!$C$36)),"?")</f>
        <v>0.064128</v>
      </c>
      <c r="E4" s="99" t="n">
        <f aca="false">IFERROR((Assumptions!$C$30*Assumptions!$C$31)*((Assumptions!$C$34/1000*Assumptions!$C$32)+(Assumptions!$C$35/1000*Assumptions!$C$33)+(Assumptions!$C$37/1000000*Assumptions!$C$36)),"?")</f>
        <v>0.064128</v>
      </c>
      <c r="F4" s="99" t="n">
        <f aca="false">IFERROR((Assumptions!$C$30*Assumptions!$C$31)*((Assumptions!$C$34/1000*Assumptions!$C$32)+(Assumptions!$C$35/1000*Assumptions!$C$33)+(Assumptions!$C$37/1000000*Assumptions!$C$36)),"?")</f>
        <v>0.064128</v>
      </c>
      <c r="G4" s="99" t="n">
        <f aca="false">IFERROR((Assumptions!$C$30*Assumptions!$C$31)*((Assumptions!$C$34/1000*Assumptions!$C$32)+(Assumptions!$C$35/1000*Assumptions!$C$33)+(Assumptions!$C$37/1000000*Assumptions!$C$36)),"?")</f>
        <v>0.064128</v>
      </c>
      <c r="H4" s="99" t="n">
        <f aca="false">IFERROR((Assumptions!$C$30*Assumptions!$C$31)*((Assumptions!$C$34/1000*Assumptions!$C$32)+(Assumptions!$C$35/1000*Assumptions!$C$33)+(Assumptions!$C$37/1000000*Assumptions!$C$36)),"?")</f>
        <v>0.064128</v>
      </c>
      <c r="I4" s="99" t="n">
        <f aca="false">IFERROR((Assumptions!$C$30*Assumptions!$C$31)*((Assumptions!$C$34/1000*Assumptions!$C$32)+(Assumptions!$C$35/1000*Assumptions!$C$33)+(Assumptions!$C$37/1000000*Assumptions!$C$36)),"?")</f>
        <v>0.064128</v>
      </c>
      <c r="J4" s="99" t="n">
        <f aca="false">IFERROR((Assumptions!$C$30*Assumptions!$C$31)*((Assumptions!$C$34/1000*Assumptions!$C$32)+(Assumptions!$C$35/1000*Assumptions!$C$33)+(Assumptions!$C$37/1000000*Assumptions!$C$36)),"?")</f>
        <v>0.064128</v>
      </c>
      <c r="K4" s="99" t="n">
        <f aca="false">IFERROR((Assumptions!$C$30*Assumptions!$C$31)*((Assumptions!$C$34/1000*Assumptions!$C$32)+(Assumptions!$C$35/1000*Assumptions!$C$33)+(Assumptions!$C$37/1000000*Assumptions!$C$36)),"?")</f>
        <v>0.064128</v>
      </c>
      <c r="L4" s="99" t="n">
        <f aca="false">IFERROR((Assumptions!$C$30*Assumptions!$C$31)*((Assumptions!$C$34/1000*Assumptions!$C$32)+(Assumptions!$C$35/1000*Assumptions!$C$33)+(Assumptions!$C$37/1000000*Assumptions!$C$36)),"?")</f>
        <v>0.064128</v>
      </c>
      <c r="M4" s="99" t="n">
        <f aca="false">IFERROR((Assumptions!$C$30*Assumptions!$C$31)*((Assumptions!$C$34/1000*Assumptions!$C$32)+(Assumptions!$C$35/1000*Assumptions!$C$33)+(Assumptions!$C$37/1000000*Assumptions!$C$36)),"?")</f>
        <v>0.064128</v>
      </c>
      <c r="N4" s="99" t="n">
        <f aca="false">IFERROR((Assumptions!$C$30*Assumptions!$C$31)*((Assumptions!$C$34/1000*Assumptions!$C$32)+(Assumptions!$C$35/1000*Assumptions!$C$33)+(Assumptions!$C$37/1000000*Assumptions!$C$36)),"?")</f>
        <v>0.064128</v>
      </c>
      <c r="O4" s="99" t="n">
        <f aca="false">IFERROR((Assumptions!$C$30*Assumptions!$C$31)*((Assumptions!$C$34/1000*Assumptions!$C$32)+(Assumptions!$C$35/1000*Assumptions!$C$33)+(Assumptions!$C$37/1000000*Assumptions!$C$36)),"?")</f>
        <v>0.064128</v>
      </c>
      <c r="P4" s="99" t="n">
        <f aca="false">IFERROR((Assumptions!$C$30*Assumptions!$C$31)*((Assumptions!$C$34/1000*Assumptions!$C$32)+(Assumptions!$C$35/1000*Assumptions!$C$33)+(Assumptions!$C$37/1000000*Assumptions!$C$36)),"?")</f>
        <v>0.064128</v>
      </c>
      <c r="Q4" s="99" t="n">
        <f aca="false">IFERROR((Assumptions!$C$30*Assumptions!$C$31)*((Assumptions!$C$34/1000*Assumptions!$C$32)+(Assumptions!$C$35/1000*Assumptions!$C$33)+(Assumptions!$C$37/1000000*Assumptions!$C$36)),"?")</f>
        <v>0.064128</v>
      </c>
      <c r="R4" s="99" t="n">
        <f aca="false">IFERROR((Assumptions!$C$30*Assumptions!$C$31)*((Assumptions!$C$34/1000*Assumptions!$C$32)+(Assumptions!$C$35/1000*Assumptions!$C$33)+(Assumptions!$C$37/1000000*Assumptions!$C$36)),"?")</f>
        <v>0.064128</v>
      </c>
      <c r="S4" s="99" t="n">
        <f aca="false">IFERROR((Assumptions!$C$30*Assumptions!$C$31)*((Assumptions!$C$34/1000*Assumptions!$C$32)+(Assumptions!$C$35/1000*Assumptions!$C$33)+(Assumptions!$C$37/1000000*Assumptions!$C$36)),"?")</f>
        <v>0.064128</v>
      </c>
      <c r="T4" s="99" t="n">
        <f aca="false">IFERROR((Assumptions!$C$30*Assumptions!$C$31)*((Assumptions!$C$34/1000*Assumptions!$C$32)+(Assumptions!$C$35/1000*Assumptions!$C$33)+(Assumptions!$C$37/1000000*Assumptions!$C$36)),"?")</f>
        <v>0.064128</v>
      </c>
    </row>
    <row r="5" customFormat="false" ht="15" hidden="false" customHeight="true" outlineLevel="0" collapsed="false">
      <c r="B5" s="55" t="s">
        <v>451</v>
      </c>
      <c r="C5" s="100" t="n">
        <f aca="false">IFERROR(C4*Revenue!C6,0)</f>
        <v>0</v>
      </c>
      <c r="D5" s="100" t="n">
        <f aca="false">IFERROR(D4*Revenue!D6,0)</f>
        <v>0</v>
      </c>
      <c r="E5" s="100" t="n">
        <f aca="false">IFERROR(E4*Revenue!E6,0)</f>
        <v>0</v>
      </c>
      <c r="F5" s="100" t="n">
        <f aca="false">IFERROR(F4*Revenue!F6,0)</f>
        <v>0</v>
      </c>
      <c r="G5" s="100" t="n">
        <f aca="false">IFERROR(G4*Revenue!G6,0)</f>
        <v>2.052096</v>
      </c>
      <c r="H5" s="100" t="n">
        <f aca="false">IFERROR(H4*Revenue!H6,0)</f>
        <v>2.500992</v>
      </c>
      <c r="I5" s="100" t="n">
        <f aca="false">IFERROR(I4*Revenue!I6,0)</f>
        <v>2.949888</v>
      </c>
      <c r="J5" s="100" t="n">
        <f aca="false">IFERROR(J4*Revenue!J6,0)</f>
        <v>3.334656</v>
      </c>
      <c r="K5" s="100" t="n">
        <f aca="false">IFERROR(K4*Revenue!K6,0)</f>
        <v>3.783552</v>
      </c>
      <c r="L5" s="100" t="n">
        <f aca="false">IFERROR(L4*Revenue!L6,0)</f>
        <v>4.232448</v>
      </c>
      <c r="M5" s="100" t="n">
        <f aca="false">IFERROR(M4*Revenue!M6,0)</f>
        <v>4.681344</v>
      </c>
      <c r="N5" s="100" t="n">
        <f aca="false">IFERROR(N4*Revenue!N6,0)</f>
        <v>5.066112</v>
      </c>
      <c r="O5" s="100" t="n">
        <f aca="false">IFERROR(O4*Revenue!O6,0)</f>
        <v>5.515008</v>
      </c>
      <c r="P5" s="100" t="n">
        <f aca="false">IFERROR(P4*Revenue!P6,0)</f>
        <v>5.963904</v>
      </c>
      <c r="Q5" s="100" t="n">
        <f aca="false">IFERROR(Q4*Revenue!Q6,0)</f>
        <v>6.4128</v>
      </c>
      <c r="R5" s="100" t="n">
        <f aca="false">IFERROR(R4*Revenue!R6,0)</f>
        <v>6.797568</v>
      </c>
      <c r="S5" s="100" t="n">
        <f aca="false">IFERROR(S4*Revenue!S6,0)</f>
        <v>7.246464</v>
      </c>
      <c r="T5" s="100" t="n">
        <f aca="false">IFERROR(T4*Revenue!T6,0)</f>
        <v>7.69536</v>
      </c>
    </row>
    <row r="7" customFormat="false" ht="15" hidden="false" customHeight="true" outlineLevel="0" collapsed="false">
      <c r="B7" s="54" t="s">
        <v>452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customFormat="false" ht="15" hidden="false" customHeight="true" outlineLevel="0" collapsed="false">
      <c r="B8" s="55" t="s">
        <v>453</v>
      </c>
      <c r="C8" s="101" t="n">
        <f aca="false">Assumptions!$C$40</f>
        <v>0</v>
      </c>
      <c r="D8" s="101" t="n">
        <f aca="false">Assumptions!$C$40</f>
        <v>0</v>
      </c>
      <c r="E8" s="101" t="n">
        <f aca="false">Assumptions!$C$40</f>
        <v>0</v>
      </c>
      <c r="F8" s="101" t="n">
        <f aca="false">Assumptions!$C$40</f>
        <v>0</v>
      </c>
      <c r="G8" s="101" t="n">
        <f aca="false">Assumptions!$C$41</f>
        <v>25</v>
      </c>
      <c r="H8" s="101" t="n">
        <f aca="false">Assumptions!$C$41</f>
        <v>25</v>
      </c>
      <c r="I8" s="101" t="n">
        <f aca="false">Assumptions!$C$41</f>
        <v>25</v>
      </c>
      <c r="J8" s="101" t="n">
        <f aca="false">Assumptions!$C$41</f>
        <v>25</v>
      </c>
      <c r="K8" s="101" t="n">
        <f aca="false">Assumptions!$C$41</f>
        <v>25</v>
      </c>
      <c r="L8" s="101" t="n">
        <f aca="false">Assumptions!$C$41</f>
        <v>25</v>
      </c>
      <c r="M8" s="101" t="n">
        <f aca="false">Assumptions!$C$41</f>
        <v>25</v>
      </c>
      <c r="N8" s="101" t="n">
        <f aca="false">Assumptions!$C$41</f>
        <v>25</v>
      </c>
      <c r="O8" s="101" t="n">
        <f aca="false">Assumptions!$C$41</f>
        <v>25</v>
      </c>
      <c r="P8" s="101" t="n">
        <f aca="false">Assumptions!$C$41</f>
        <v>25</v>
      </c>
      <c r="Q8" s="101" t="n">
        <f aca="false">Assumptions!$C$41</f>
        <v>25</v>
      </c>
      <c r="R8" s="101" t="n">
        <f aca="false">Assumptions!$C$41</f>
        <v>25</v>
      </c>
      <c r="S8" s="101" t="n">
        <f aca="false">Assumptions!$C$41</f>
        <v>25</v>
      </c>
      <c r="T8" s="101" t="n">
        <f aca="false">Assumptions!$C$41</f>
        <v>25</v>
      </c>
    </row>
    <row r="9" customFormat="false" ht="15" hidden="false" customHeight="true" outlineLevel="0" collapsed="false">
      <c r="B9" s="55" t="s">
        <v>454</v>
      </c>
      <c r="C9" s="101" t="n">
        <f aca="false">Assumptions!$C$43</f>
        <v>0</v>
      </c>
      <c r="D9" s="101" t="n">
        <f aca="false">Assumptions!$C$43</f>
        <v>0</v>
      </c>
      <c r="E9" s="101" t="n">
        <f aca="false">Assumptions!$C$43</f>
        <v>0</v>
      </c>
      <c r="F9" s="101" t="n">
        <f aca="false">Assumptions!$C$43</f>
        <v>0</v>
      </c>
      <c r="G9" s="101" t="n">
        <f aca="false">Assumptions!$C$43</f>
        <v>0</v>
      </c>
      <c r="H9" s="101" t="n">
        <f aca="false">Assumptions!$C$43</f>
        <v>0</v>
      </c>
      <c r="I9" s="101" t="n">
        <f aca="false">Assumptions!$C$43</f>
        <v>0</v>
      </c>
      <c r="J9" s="101" t="n">
        <f aca="false">Assumptions!$C$43</f>
        <v>0</v>
      </c>
      <c r="K9" s="101" t="n">
        <f aca="false">Assumptions!$C$43</f>
        <v>0</v>
      </c>
      <c r="L9" s="101" t="n">
        <f aca="false">Assumptions!$C$43</f>
        <v>0</v>
      </c>
      <c r="M9" s="101" t="n">
        <f aca="false">Assumptions!$C$43</f>
        <v>0</v>
      </c>
      <c r="N9" s="101" t="n">
        <f aca="false">Assumptions!$C$43</f>
        <v>0</v>
      </c>
      <c r="O9" s="101" t="n">
        <f aca="false">Assumptions!$C$43</f>
        <v>0</v>
      </c>
      <c r="P9" s="101" t="n">
        <f aca="false">Assumptions!$C$43</f>
        <v>0</v>
      </c>
      <c r="Q9" s="101" t="n">
        <f aca="false">Assumptions!$C$43</f>
        <v>0</v>
      </c>
      <c r="R9" s="101" t="n">
        <f aca="false">Assumptions!$C$43</f>
        <v>0</v>
      </c>
      <c r="S9" s="101" t="n">
        <f aca="false">Assumptions!$C$43</f>
        <v>0</v>
      </c>
      <c r="T9" s="101" t="n">
        <f aca="false">Assumptions!$C$43</f>
        <v>0</v>
      </c>
    </row>
    <row r="10" customFormat="false" ht="15" hidden="false" customHeight="true" outlineLevel="0" collapsed="false">
      <c r="B10" s="55" t="s">
        <v>455</v>
      </c>
      <c r="C10" s="101" t="n">
        <f aca="false">Assumptions!$C$47</f>
        <v>10</v>
      </c>
      <c r="D10" s="101" t="n">
        <f aca="false">Assumptions!$C$47</f>
        <v>10</v>
      </c>
      <c r="E10" s="101" t="n">
        <f aca="false">Assumptions!$C$47</f>
        <v>10</v>
      </c>
      <c r="F10" s="101" t="n">
        <f aca="false">Assumptions!$C$47</f>
        <v>10</v>
      </c>
      <c r="G10" s="101" t="n">
        <f aca="false">Assumptions!$C$47</f>
        <v>10</v>
      </c>
      <c r="H10" s="101" t="n">
        <f aca="false">Assumptions!$C$47</f>
        <v>10</v>
      </c>
      <c r="I10" s="101" t="n">
        <f aca="false">Assumptions!$C$47</f>
        <v>10</v>
      </c>
      <c r="J10" s="101" t="n">
        <f aca="false">Assumptions!$C$47</f>
        <v>10</v>
      </c>
      <c r="K10" s="101" t="n">
        <f aca="false">Assumptions!$C$47</f>
        <v>10</v>
      </c>
      <c r="L10" s="101" t="n">
        <f aca="false">Assumptions!$C$47</f>
        <v>10</v>
      </c>
      <c r="M10" s="101" t="n">
        <f aca="false">Assumptions!$C$47</f>
        <v>10</v>
      </c>
      <c r="N10" s="101" t="n">
        <f aca="false">Assumptions!$C$47</f>
        <v>10</v>
      </c>
      <c r="O10" s="101" t="n">
        <f aca="false">Assumptions!$C$47</f>
        <v>10</v>
      </c>
      <c r="P10" s="101" t="n">
        <f aca="false">Assumptions!$C$47</f>
        <v>10</v>
      </c>
      <c r="Q10" s="101" t="n">
        <f aca="false">Assumptions!$C$47</f>
        <v>10</v>
      </c>
      <c r="R10" s="101" t="n">
        <f aca="false">Assumptions!$C$47</f>
        <v>10</v>
      </c>
      <c r="S10" s="101" t="n">
        <f aca="false">Assumptions!$C$47</f>
        <v>10</v>
      </c>
      <c r="T10" s="101" t="n">
        <f aca="false">Assumptions!$C$47</f>
        <v>10</v>
      </c>
    </row>
    <row r="12" customFormat="false" ht="15" hidden="false" customHeight="true" outlineLevel="0" collapsed="false">
      <c r="B12" s="54" t="s">
        <v>456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</row>
    <row r="13" customFormat="false" ht="15" hidden="false" customHeight="true" outlineLevel="0" collapsed="false">
      <c r="B13" s="55" t="s">
        <v>457</v>
      </c>
      <c r="C13" s="98" t="n">
        <f aca="false">C5+C8+C9+C10</f>
        <v>10</v>
      </c>
      <c r="D13" s="98" t="n">
        <f aca="false">D5+D8+D9+D10</f>
        <v>10</v>
      </c>
      <c r="E13" s="98" t="n">
        <f aca="false">E5+E8+E9+E10</f>
        <v>10</v>
      </c>
      <c r="F13" s="98" t="n">
        <f aca="false">F5+F8+F9+F10</f>
        <v>10</v>
      </c>
      <c r="G13" s="98" t="n">
        <f aca="false">G5+G8+G9+G10</f>
        <v>37.052096</v>
      </c>
      <c r="H13" s="98" t="n">
        <f aca="false">H5+H8+H9+H10</f>
        <v>37.500992</v>
      </c>
      <c r="I13" s="98" t="n">
        <f aca="false">I5+I8+I9+I10</f>
        <v>37.949888</v>
      </c>
      <c r="J13" s="98" t="n">
        <f aca="false">J5+J8+J9+J10</f>
        <v>38.334656</v>
      </c>
      <c r="K13" s="98" t="n">
        <f aca="false">K5+K8+K9+K10</f>
        <v>38.783552</v>
      </c>
      <c r="L13" s="98" t="n">
        <f aca="false">L5+L8+L9+L10</f>
        <v>39.232448</v>
      </c>
      <c r="M13" s="98" t="n">
        <f aca="false">M5+M8+M9+M10</f>
        <v>39.681344</v>
      </c>
      <c r="N13" s="98" t="n">
        <f aca="false">N5+N8+N9+N10</f>
        <v>40.066112</v>
      </c>
      <c r="O13" s="98" t="n">
        <f aca="false">O5+O8+O9+O10</f>
        <v>40.515008</v>
      </c>
      <c r="P13" s="98" t="n">
        <f aca="false">P5+P8+P9+P10</f>
        <v>40.963904</v>
      </c>
      <c r="Q13" s="98" t="n">
        <f aca="false">Q5+Q8+Q9+Q10</f>
        <v>41.4128</v>
      </c>
      <c r="R13" s="98" t="n">
        <f aca="false">R5+R8+R9+R10</f>
        <v>41.797568</v>
      </c>
      <c r="S13" s="98" t="n">
        <f aca="false">S5+S8+S9+S10</f>
        <v>42.246464</v>
      </c>
      <c r="T13" s="98" t="n">
        <f aca="false">T5+T8+T9+T10</f>
        <v>42.69536</v>
      </c>
    </row>
  </sheetData>
  <mergeCells count="4">
    <mergeCell ref="B1:T1"/>
    <mergeCell ref="B3:T3"/>
    <mergeCell ref="B7:T7"/>
    <mergeCell ref="B12:T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20" min="3" style="1" width="12"/>
  </cols>
  <sheetData>
    <row r="1" customFormat="false" ht="15.75" hidden="false" customHeight="true" outlineLevel="0" collapsed="false">
      <c r="B1" s="88" t="s">
        <v>458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V1" s="89" t="s">
        <v>459</v>
      </c>
    </row>
    <row r="2" customFormat="false" ht="15.75" hidden="false" customHeight="true" outlineLevel="0" collapsed="false">
      <c r="B2" s="90" t="s">
        <v>432</v>
      </c>
      <c r="C2" s="91" t="s">
        <v>408</v>
      </c>
      <c r="D2" s="91" t="s">
        <v>409</v>
      </c>
      <c r="E2" s="91" t="s">
        <v>410</v>
      </c>
      <c r="F2" s="91" t="s">
        <v>411</v>
      </c>
      <c r="G2" s="91" t="s">
        <v>412</v>
      </c>
      <c r="H2" s="91" t="s">
        <v>413</v>
      </c>
      <c r="I2" s="91" t="s">
        <v>414</v>
      </c>
      <c r="J2" s="91" t="s">
        <v>415</v>
      </c>
      <c r="K2" s="91" t="s">
        <v>416</v>
      </c>
      <c r="L2" s="91" t="s">
        <v>417</v>
      </c>
      <c r="M2" s="91" t="s">
        <v>418</v>
      </c>
      <c r="N2" s="91" t="s">
        <v>419</v>
      </c>
      <c r="O2" s="91" t="s">
        <v>420</v>
      </c>
      <c r="P2" s="91" t="s">
        <v>421</v>
      </c>
      <c r="Q2" s="91" t="s">
        <v>422</v>
      </c>
      <c r="R2" s="91" t="s">
        <v>423</v>
      </c>
      <c r="S2" s="91" t="s">
        <v>424</v>
      </c>
      <c r="T2" s="91" t="s">
        <v>425</v>
      </c>
    </row>
    <row r="3" customFormat="false" ht="15" hidden="false" customHeight="true" outlineLevel="0" collapsed="false">
      <c r="B3" s="54" t="s">
        <v>460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</row>
    <row r="4" customFormat="false" ht="15" hidden="false" customHeight="true" outlineLevel="0" collapsed="false">
      <c r="B4" s="55" t="s">
        <v>461</v>
      </c>
      <c r="C4" s="101" t="n">
        <f aca="false">ROUND((Assumptions!$C$63/4)*Assumptions!$C$61,0)</f>
        <v>1688</v>
      </c>
      <c r="D4" s="101" t="n">
        <f aca="false">ROUND((Assumptions!$C$63/4)*Assumptions!$C$61,0)</f>
        <v>1688</v>
      </c>
      <c r="E4" s="101" t="n">
        <f aca="false">ROUND((Assumptions!$C$63/4)*Assumptions!$C$61,0)</f>
        <v>1688</v>
      </c>
      <c r="F4" s="101" t="n">
        <f aca="false">ROUND((Assumptions!$C$63/4)*Assumptions!$C$61,0)</f>
        <v>1688</v>
      </c>
      <c r="G4" s="101" t="n">
        <v>0</v>
      </c>
      <c r="H4" s="101" t="n">
        <v>0</v>
      </c>
      <c r="I4" s="101" t="n">
        <v>0</v>
      </c>
      <c r="J4" s="101" t="n">
        <v>0</v>
      </c>
      <c r="K4" s="101" t="n">
        <v>0</v>
      </c>
      <c r="L4" s="101" t="n">
        <v>0</v>
      </c>
      <c r="M4" s="101" t="n">
        <v>0</v>
      </c>
      <c r="N4" s="101" t="n">
        <v>0</v>
      </c>
      <c r="O4" s="101" t="n">
        <v>0</v>
      </c>
      <c r="P4" s="101" t="n">
        <v>0</v>
      </c>
      <c r="Q4" s="101" t="n">
        <v>0</v>
      </c>
      <c r="R4" s="101" t="n">
        <v>0</v>
      </c>
      <c r="S4" s="101" t="n">
        <v>0</v>
      </c>
      <c r="T4" s="101" t="n">
        <v>0</v>
      </c>
    </row>
    <row r="5" customFormat="false" ht="15" hidden="false" customHeight="true" outlineLevel="0" collapsed="false">
      <c r="B5" s="55" t="s">
        <v>462</v>
      </c>
      <c r="C5" s="101" t="n">
        <f aca="false">ROUND((Assumptions!$C$64/4)*Assumptions!$C$62,0)</f>
        <v>4350</v>
      </c>
      <c r="D5" s="101" t="n">
        <f aca="false">ROUND((Assumptions!$C$64/4)*Assumptions!$C$62,0)</f>
        <v>4350</v>
      </c>
      <c r="E5" s="101" t="n">
        <f aca="false">ROUND((Assumptions!$C$64/4)*Assumptions!$C$62,0)</f>
        <v>4350</v>
      </c>
      <c r="F5" s="101" t="n">
        <f aca="false">ROUND((Assumptions!$C$64/4)*Assumptions!$C$62,0)</f>
        <v>4350</v>
      </c>
      <c r="G5" s="101" t="n">
        <v>0</v>
      </c>
      <c r="H5" s="101" t="n">
        <v>0</v>
      </c>
      <c r="I5" s="101" t="n">
        <v>0</v>
      </c>
      <c r="J5" s="101" t="n">
        <v>0</v>
      </c>
      <c r="K5" s="101" t="n">
        <v>0</v>
      </c>
      <c r="L5" s="101" t="n">
        <v>0</v>
      </c>
      <c r="M5" s="101" t="n">
        <v>0</v>
      </c>
      <c r="N5" s="101" t="n">
        <v>0</v>
      </c>
      <c r="O5" s="101" t="n">
        <v>0</v>
      </c>
      <c r="P5" s="101" t="n">
        <v>0</v>
      </c>
      <c r="Q5" s="101" t="n">
        <v>0</v>
      </c>
      <c r="R5" s="101" t="n">
        <v>0</v>
      </c>
      <c r="S5" s="101" t="n">
        <v>0</v>
      </c>
      <c r="T5" s="101" t="n">
        <v>0</v>
      </c>
    </row>
    <row r="6" customFormat="false" ht="15" hidden="false" customHeight="true" outlineLevel="0" collapsed="false">
      <c r="B6" s="55" t="s">
        <v>463</v>
      </c>
      <c r="C6" s="101" t="n">
        <v>0</v>
      </c>
      <c r="D6" s="101" t="n">
        <v>0</v>
      </c>
      <c r="E6" s="101" t="n">
        <v>0</v>
      </c>
      <c r="F6" s="101" t="n">
        <v>0</v>
      </c>
      <c r="G6" s="100" t="n">
        <f aca="false">IFERROR(Assumptions!$C$66*Assumptions!$C$61,"?")</f>
        <v>450</v>
      </c>
      <c r="H6" s="100" t="n">
        <f aca="false">IFERROR(Assumptions!$C$66*Assumptions!$C$61,"?")</f>
        <v>450</v>
      </c>
      <c r="I6" s="100" t="n">
        <f aca="false">IFERROR(Assumptions!$C$66*Assumptions!$C$61,"?")</f>
        <v>450</v>
      </c>
      <c r="J6" s="100" t="n">
        <f aca="false">IFERROR(Assumptions!$C$66*Assumptions!$C$61,"?")</f>
        <v>450</v>
      </c>
      <c r="K6" s="100" t="n">
        <f aca="false">IFERROR(Assumptions!$C$66*Assumptions!$C$61,"?")</f>
        <v>450</v>
      </c>
      <c r="L6" s="100" t="n">
        <f aca="false">IFERROR(Assumptions!$C$66*Assumptions!$C$61,"?")</f>
        <v>450</v>
      </c>
      <c r="M6" s="100" t="n">
        <f aca="false">IFERROR(Assumptions!$C$66*Assumptions!$C$61,"?")</f>
        <v>450</v>
      </c>
      <c r="N6" s="100" t="n">
        <f aca="false">IFERROR(Assumptions!$C$66*Assumptions!$C$61,"?")</f>
        <v>450</v>
      </c>
      <c r="O6" s="100" t="n">
        <f aca="false">IFERROR(Assumptions!$C$66*Assumptions!$C$61,"?")</f>
        <v>450</v>
      </c>
      <c r="P6" s="100" t="n">
        <f aca="false">IFERROR(Assumptions!$C$66*Assumptions!$C$61,"?")</f>
        <v>450</v>
      </c>
      <c r="Q6" s="100" t="n">
        <f aca="false">IFERROR(Assumptions!$C$66*Assumptions!$C$61,"?")</f>
        <v>450</v>
      </c>
      <c r="R6" s="100" t="n">
        <f aca="false">IFERROR(Assumptions!$C$66*Assumptions!$C$61,"?")</f>
        <v>450</v>
      </c>
      <c r="S6" s="100" t="n">
        <f aca="false">IFERROR(Assumptions!$C$66*Assumptions!$C$61,"?")</f>
        <v>450</v>
      </c>
      <c r="T6" s="100" t="n">
        <f aca="false">IFERROR(Assumptions!$C$66*Assumptions!$C$61,"?")</f>
        <v>450</v>
      </c>
    </row>
    <row r="8" customFormat="false" ht="15" hidden="false" customHeight="true" outlineLevel="0" collapsed="false">
      <c r="B8" s="54" t="s">
        <v>464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customFormat="false" ht="15" hidden="false" customHeight="true" outlineLevel="0" collapsed="false">
      <c r="B9" s="55" t="s">
        <v>465</v>
      </c>
      <c r="C9" s="101" t="n">
        <f aca="false">Assumptions!$C$52</f>
        <v>200</v>
      </c>
      <c r="D9" s="102" t="n">
        <v>0</v>
      </c>
      <c r="E9" s="102" t="n">
        <v>0</v>
      </c>
      <c r="F9" s="102" t="n">
        <v>0</v>
      </c>
      <c r="G9" s="102" t="n">
        <v>0</v>
      </c>
      <c r="H9" s="102" t="n">
        <v>0</v>
      </c>
      <c r="I9" s="102" t="n">
        <v>0</v>
      </c>
      <c r="J9" s="102" t="n">
        <v>0</v>
      </c>
      <c r="K9" s="102" t="n">
        <v>0</v>
      </c>
      <c r="L9" s="102" t="n">
        <v>0</v>
      </c>
      <c r="M9" s="102" t="n">
        <v>0</v>
      </c>
      <c r="N9" s="102" t="n">
        <v>0</v>
      </c>
      <c r="O9" s="102" t="n">
        <v>0</v>
      </c>
      <c r="P9" s="102" t="n">
        <v>0</v>
      </c>
      <c r="Q9" s="102" t="n">
        <v>0</v>
      </c>
      <c r="R9" s="102" t="n">
        <v>0</v>
      </c>
      <c r="S9" s="102" t="n">
        <v>0</v>
      </c>
      <c r="T9" s="102" t="n">
        <v>0</v>
      </c>
    </row>
    <row r="10" customFormat="false" ht="15" hidden="false" customHeight="true" outlineLevel="0" collapsed="false">
      <c r="B10" s="55" t="s">
        <v>466</v>
      </c>
      <c r="C10" s="101" t="n">
        <f aca="false">Assumptions!$C$53</f>
        <v>375</v>
      </c>
      <c r="D10" s="102" t="n">
        <v>0</v>
      </c>
      <c r="E10" s="102" t="n">
        <v>0</v>
      </c>
      <c r="F10" s="102" t="n">
        <v>0</v>
      </c>
      <c r="G10" s="102" t="n">
        <v>0</v>
      </c>
      <c r="H10" s="102" t="n">
        <v>0</v>
      </c>
      <c r="I10" s="102" t="n">
        <v>0</v>
      </c>
      <c r="J10" s="102" t="n">
        <v>0</v>
      </c>
      <c r="K10" s="102" t="n">
        <v>0</v>
      </c>
      <c r="L10" s="102" t="n">
        <v>0</v>
      </c>
      <c r="M10" s="102" t="n">
        <v>0</v>
      </c>
      <c r="N10" s="102" t="n">
        <v>0</v>
      </c>
      <c r="O10" s="102" t="n">
        <v>0</v>
      </c>
      <c r="P10" s="102" t="n">
        <v>0</v>
      </c>
      <c r="Q10" s="102" t="n">
        <v>0</v>
      </c>
      <c r="R10" s="102" t="n">
        <v>0</v>
      </c>
      <c r="S10" s="102" t="n">
        <v>0</v>
      </c>
      <c r="T10" s="102" t="n">
        <v>0</v>
      </c>
    </row>
    <row r="11" customFormat="false" ht="15" hidden="false" customHeight="true" outlineLevel="0" collapsed="false">
      <c r="B11" s="55" t="s">
        <v>467</v>
      </c>
      <c r="C11" s="103" t="n">
        <f aca="false">SUM(Assumptions!$C$54:$C$57)</f>
        <v>530</v>
      </c>
      <c r="D11" s="103" t="n">
        <v>0</v>
      </c>
      <c r="E11" s="103" t="n">
        <v>0</v>
      </c>
      <c r="F11" s="103" t="n">
        <v>0</v>
      </c>
      <c r="G11" s="103" t="n">
        <v>0</v>
      </c>
      <c r="H11" s="103" t="n">
        <v>0</v>
      </c>
      <c r="I11" s="103" t="n">
        <v>0</v>
      </c>
      <c r="J11" s="103" t="n">
        <v>0</v>
      </c>
      <c r="K11" s="103" t="n">
        <v>0</v>
      </c>
      <c r="L11" s="103" t="n">
        <v>0</v>
      </c>
      <c r="M11" s="103" t="n">
        <v>0</v>
      </c>
      <c r="N11" s="103" t="n">
        <v>0</v>
      </c>
      <c r="O11" s="103" t="n">
        <v>0</v>
      </c>
      <c r="P11" s="103" t="n">
        <v>0</v>
      </c>
      <c r="Q11" s="103" t="n">
        <v>0</v>
      </c>
      <c r="R11" s="103" t="n">
        <v>0</v>
      </c>
      <c r="S11" s="103" t="n">
        <v>0</v>
      </c>
      <c r="T11" s="103" t="n">
        <v>0</v>
      </c>
    </row>
    <row r="13" customFormat="false" ht="15" hidden="false" customHeight="true" outlineLevel="0" collapsed="false">
      <c r="B13" s="54" t="s">
        <v>468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</row>
    <row r="14" customFormat="false" ht="15" hidden="false" customHeight="true" outlineLevel="0" collapsed="false">
      <c r="B14" s="55" t="s">
        <v>469</v>
      </c>
      <c r="C14" s="101" t="n">
        <f aca="false">Assumptions!$C$69</f>
        <v>0</v>
      </c>
      <c r="D14" s="101" t="n">
        <f aca="false">Assumptions!$C$69</f>
        <v>0</v>
      </c>
      <c r="E14" s="101" t="n">
        <f aca="false">Assumptions!$C$69</f>
        <v>0</v>
      </c>
      <c r="F14" s="101" t="n">
        <f aca="false">Assumptions!$C$69</f>
        <v>0</v>
      </c>
      <c r="G14" s="100" t="n">
        <f aca="false">IFERROR(Assumptions!$C$70,"?")</f>
        <v>750</v>
      </c>
      <c r="H14" s="100" t="n">
        <f aca="false">IFERROR(Assumptions!$C$70,"?")</f>
        <v>750</v>
      </c>
      <c r="I14" s="100" t="n">
        <f aca="false">IFERROR(Assumptions!$C$70,"?")</f>
        <v>750</v>
      </c>
      <c r="J14" s="100" t="n">
        <f aca="false">IFERROR(Assumptions!$C$70,"?")</f>
        <v>750</v>
      </c>
      <c r="K14" s="100" t="n">
        <f aca="false">IFERROR(Assumptions!$C$70,"?")</f>
        <v>750</v>
      </c>
      <c r="L14" s="100" t="n">
        <f aca="false">IFERROR(Assumptions!$C$70,"?")</f>
        <v>750</v>
      </c>
      <c r="M14" s="100" t="n">
        <f aca="false">IFERROR(Assumptions!$C$70,"?")</f>
        <v>750</v>
      </c>
      <c r="N14" s="100" t="n">
        <f aca="false">IFERROR(Assumptions!$C$70,"?")</f>
        <v>750</v>
      </c>
      <c r="O14" s="100" t="n">
        <f aca="false">IFERROR(Assumptions!$C$70,"?")</f>
        <v>750</v>
      </c>
      <c r="P14" s="100" t="n">
        <f aca="false">IFERROR(Assumptions!$C$70,"?")</f>
        <v>750</v>
      </c>
      <c r="Q14" s="100" t="n">
        <f aca="false">IFERROR(Assumptions!$C$70,"?")</f>
        <v>750</v>
      </c>
      <c r="R14" s="100" t="n">
        <f aca="false">IFERROR(Assumptions!$C$70,"?")</f>
        <v>750</v>
      </c>
      <c r="S14" s="100" t="n">
        <f aca="false">IFERROR(Assumptions!$C$70,"?")</f>
        <v>750</v>
      </c>
      <c r="T14" s="100" t="n">
        <f aca="false">IFERROR(Assumptions!$C$70,"?")</f>
        <v>750</v>
      </c>
    </row>
    <row r="15" customFormat="false" ht="15" hidden="false" customHeight="true" outlineLevel="0" collapsed="false">
      <c r="B15" s="55" t="s">
        <v>470</v>
      </c>
      <c r="C15" s="100" t="n">
        <f aca="false">IFERROR(Assumptions!$C$71,"?")</f>
        <v>75</v>
      </c>
      <c r="D15" s="100" t="n">
        <f aca="false">IFERROR(Assumptions!$C$71,"?")</f>
        <v>75</v>
      </c>
      <c r="E15" s="100" t="n">
        <f aca="false">IFERROR(Assumptions!$C$71,"?")</f>
        <v>75</v>
      </c>
      <c r="F15" s="100" t="n">
        <f aca="false">IFERROR(Assumptions!$C$71,"?")</f>
        <v>75</v>
      </c>
      <c r="G15" s="100" t="n">
        <f aca="false">IFERROR(Assumptions!$C$71,"?")</f>
        <v>75</v>
      </c>
      <c r="H15" s="100" t="n">
        <f aca="false">IFERROR(Assumptions!$C$71,"?")</f>
        <v>75</v>
      </c>
      <c r="I15" s="100" t="n">
        <f aca="false">IFERROR(Assumptions!$C$71,"?")</f>
        <v>75</v>
      </c>
      <c r="J15" s="100" t="n">
        <f aca="false">IFERROR(Assumptions!$C$71,"?")</f>
        <v>75</v>
      </c>
      <c r="K15" s="100" t="n">
        <f aca="false">IFERROR(Assumptions!$C$71,"?")</f>
        <v>75</v>
      </c>
      <c r="L15" s="100" t="n">
        <f aca="false">IFERROR(Assumptions!$C$71,"?")</f>
        <v>75</v>
      </c>
      <c r="M15" s="100" t="n">
        <f aca="false">IFERROR(Assumptions!$C$71,"?")</f>
        <v>75</v>
      </c>
      <c r="N15" s="100" t="n">
        <f aca="false">IFERROR(Assumptions!$C$71,"?")</f>
        <v>75</v>
      </c>
      <c r="O15" s="100" t="n">
        <f aca="false">IFERROR(Assumptions!$C$71,"?")</f>
        <v>75</v>
      </c>
      <c r="P15" s="100" t="n">
        <f aca="false">IFERROR(Assumptions!$C$71,"?")</f>
        <v>75</v>
      </c>
      <c r="Q15" s="100" t="n">
        <f aca="false">IFERROR(Assumptions!$C$71,"?")</f>
        <v>75</v>
      </c>
      <c r="R15" s="100" t="n">
        <f aca="false">IFERROR(Assumptions!$C$71,"?")</f>
        <v>75</v>
      </c>
      <c r="S15" s="100" t="n">
        <f aca="false">IFERROR(Assumptions!$C$71,"?")</f>
        <v>75</v>
      </c>
      <c r="T15" s="100" t="n">
        <f aca="false">IFERROR(Assumptions!$C$71,"?")</f>
        <v>75</v>
      </c>
    </row>
    <row r="17" customFormat="false" ht="15" hidden="false" customHeight="true" outlineLevel="0" collapsed="false">
      <c r="B17" s="54" t="s">
        <v>471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</row>
    <row r="18" customFormat="false" ht="15" hidden="false" customHeight="true" outlineLevel="0" collapsed="false">
      <c r="B18" s="55" t="s">
        <v>131</v>
      </c>
      <c r="C18" s="100" t="n">
        <f aca="false">IFERROR(Assumptions!$C$74,"?")</f>
        <v>0</v>
      </c>
      <c r="D18" s="100" t="n">
        <f aca="false">IFERROR(Assumptions!$C$74,"?")</f>
        <v>0</v>
      </c>
      <c r="E18" s="100" t="n">
        <f aca="false">IFERROR(Assumptions!$C$74,"?")</f>
        <v>0</v>
      </c>
      <c r="F18" s="100" t="n">
        <f aca="false">IFERROR(Assumptions!$C$74,"?")</f>
        <v>0</v>
      </c>
      <c r="G18" s="100" t="n">
        <f aca="false">IFERROR(Assumptions!$C$74,"?")</f>
        <v>0</v>
      </c>
      <c r="H18" s="100" t="n">
        <f aca="false">IFERROR(Assumptions!$C$74,"?")</f>
        <v>0</v>
      </c>
      <c r="I18" s="100" t="n">
        <f aca="false">IFERROR(Assumptions!$C$74,"?")</f>
        <v>0</v>
      </c>
      <c r="J18" s="100" t="n">
        <f aca="false">IFERROR(Assumptions!$C$74,"?")</f>
        <v>0</v>
      </c>
      <c r="K18" s="100" t="n">
        <f aca="false">IFERROR(Assumptions!$C$74,"?")</f>
        <v>0</v>
      </c>
      <c r="L18" s="100" t="n">
        <f aca="false">IFERROR(Assumptions!$C$74,"?")</f>
        <v>0</v>
      </c>
      <c r="M18" s="100" t="n">
        <f aca="false">IFERROR(Assumptions!$C$74,"?")</f>
        <v>0</v>
      </c>
      <c r="N18" s="100" t="n">
        <f aca="false">IFERROR(Assumptions!$C$74,"?")</f>
        <v>0</v>
      </c>
      <c r="O18" s="100" t="n">
        <f aca="false">IFERROR(Assumptions!$C$74,"?")</f>
        <v>0</v>
      </c>
      <c r="P18" s="100" t="n">
        <f aca="false">IFERROR(Assumptions!$C$74,"?")</f>
        <v>0</v>
      </c>
      <c r="Q18" s="100" t="n">
        <f aca="false">IFERROR(Assumptions!$C$74,"?")</f>
        <v>0</v>
      </c>
      <c r="R18" s="100" t="n">
        <f aca="false">IFERROR(Assumptions!$C$74,"?")</f>
        <v>0</v>
      </c>
      <c r="S18" s="100" t="n">
        <f aca="false">IFERROR(Assumptions!$C$74,"?")</f>
        <v>0</v>
      </c>
      <c r="T18" s="100" t="n">
        <f aca="false">IFERROR(Assumptions!$C$74,"?")</f>
        <v>0</v>
      </c>
    </row>
    <row r="19" customFormat="false" ht="15" hidden="false" customHeight="true" outlineLevel="0" collapsed="false">
      <c r="B19" s="55" t="s">
        <v>472</v>
      </c>
      <c r="C19" s="100" t="n">
        <f aca="false">IFERROR(Assumptions!$C$75,"?")</f>
        <v>0</v>
      </c>
      <c r="D19" s="100" t="n">
        <f aca="false">IFERROR(Assumptions!$C$75,"?")</f>
        <v>0</v>
      </c>
      <c r="E19" s="100" t="n">
        <f aca="false">IFERROR(Assumptions!$C$75,"?")</f>
        <v>0</v>
      </c>
      <c r="F19" s="100" t="n">
        <f aca="false">IFERROR(Assumptions!$C$75,"?")</f>
        <v>0</v>
      </c>
      <c r="G19" s="100" t="n">
        <f aca="false">IFERROR(Assumptions!$C$75,"?")</f>
        <v>0</v>
      </c>
      <c r="H19" s="100" t="n">
        <f aca="false">IFERROR(Assumptions!$C$75,"?")</f>
        <v>0</v>
      </c>
      <c r="I19" s="100" t="n">
        <f aca="false">IFERROR(Assumptions!$C$75,"?")</f>
        <v>0</v>
      </c>
      <c r="J19" s="100" t="n">
        <f aca="false">IFERROR(Assumptions!$C$75,"?")</f>
        <v>0</v>
      </c>
      <c r="K19" s="100" t="n">
        <f aca="false">IFERROR(Assumptions!$C$75,"?")</f>
        <v>0</v>
      </c>
      <c r="L19" s="100" t="n">
        <f aca="false">IFERROR(Assumptions!$C$75,"?")</f>
        <v>0</v>
      </c>
      <c r="M19" s="100" t="n">
        <f aca="false">IFERROR(Assumptions!$C$75,"?")</f>
        <v>0</v>
      </c>
      <c r="N19" s="100" t="n">
        <f aca="false">IFERROR(Assumptions!$C$75,"?")</f>
        <v>0</v>
      </c>
      <c r="O19" s="100" t="n">
        <f aca="false">IFERROR(Assumptions!$C$75,"?")</f>
        <v>0</v>
      </c>
      <c r="P19" s="100" t="n">
        <f aca="false">IFERROR(Assumptions!$C$75,"?")</f>
        <v>0</v>
      </c>
      <c r="Q19" s="100" t="n">
        <f aca="false">IFERROR(Assumptions!$C$75,"?")</f>
        <v>0</v>
      </c>
      <c r="R19" s="100" t="n">
        <f aca="false">IFERROR(Assumptions!$C$75,"?")</f>
        <v>0</v>
      </c>
      <c r="S19" s="100" t="n">
        <f aca="false">IFERROR(Assumptions!$C$75,"?")</f>
        <v>0</v>
      </c>
      <c r="T19" s="100" t="n">
        <f aca="false">IFERROR(Assumptions!$C$75,"?")</f>
        <v>0</v>
      </c>
    </row>
    <row r="21" customFormat="false" ht="15" hidden="false" customHeight="true" outlineLevel="0" collapsed="false">
      <c r="B21" s="54" t="s">
        <v>473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customFormat="false" ht="15" hidden="false" customHeight="true" outlineLevel="0" collapsed="false">
      <c r="B22" s="55" t="s">
        <v>474</v>
      </c>
      <c r="C22" s="100" t="n">
        <f aca="false">IFERROR(Assumptions!$C$49,"?")</f>
        <v>20</v>
      </c>
      <c r="D22" s="100" t="n">
        <f aca="false">IFERROR(Assumptions!$C$49,"?")</f>
        <v>20</v>
      </c>
      <c r="E22" s="100" t="n">
        <f aca="false">IFERROR(Assumptions!$C$49,"?")</f>
        <v>20</v>
      </c>
      <c r="F22" s="100" t="n">
        <f aca="false">IFERROR(Assumptions!$C$49,"?")</f>
        <v>20</v>
      </c>
      <c r="G22" s="100" t="n">
        <f aca="false">IFERROR(Assumptions!$C$49,"?")</f>
        <v>20</v>
      </c>
      <c r="H22" s="100" t="n">
        <f aca="false">IFERROR(Assumptions!$C$49,"?")</f>
        <v>20</v>
      </c>
      <c r="I22" s="100" t="n">
        <f aca="false">IFERROR(Assumptions!$C$49,"?")</f>
        <v>20</v>
      </c>
      <c r="J22" s="100" t="n">
        <f aca="false">IFERROR(Assumptions!$C$49,"?")</f>
        <v>20</v>
      </c>
      <c r="K22" s="100" t="n">
        <f aca="false">IFERROR(Assumptions!$C$49,"?")</f>
        <v>20</v>
      </c>
      <c r="L22" s="100" t="n">
        <f aca="false">IFERROR(Assumptions!$C$49,"?")</f>
        <v>20</v>
      </c>
      <c r="M22" s="100" t="n">
        <f aca="false">IFERROR(Assumptions!$C$49,"?")</f>
        <v>20</v>
      </c>
      <c r="N22" s="100" t="n">
        <f aca="false">IFERROR(Assumptions!$C$49,"?")</f>
        <v>20</v>
      </c>
      <c r="O22" s="100" t="n">
        <f aca="false">IFERROR(Assumptions!$C$49,"?")</f>
        <v>20</v>
      </c>
      <c r="P22" s="100" t="n">
        <f aca="false">IFERROR(Assumptions!$C$49,"?")</f>
        <v>20</v>
      </c>
      <c r="Q22" s="100" t="n">
        <f aca="false">IFERROR(Assumptions!$C$49,"?")</f>
        <v>20</v>
      </c>
      <c r="R22" s="100" t="n">
        <f aca="false">IFERROR(Assumptions!$C$49,"?")</f>
        <v>20</v>
      </c>
      <c r="S22" s="100" t="n">
        <f aca="false">IFERROR(Assumptions!$C$49,"?")</f>
        <v>20</v>
      </c>
      <c r="T22" s="100" t="n">
        <f aca="false">IFERROR(Assumptions!$C$49,"?")</f>
        <v>20</v>
      </c>
    </row>
    <row r="24" customFormat="false" ht="15" hidden="false" customHeight="true" outlineLevel="0" collapsed="false">
      <c r="B24" s="54" t="s">
        <v>475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</row>
    <row r="25" customFormat="false" ht="15" hidden="false" customHeight="true" outlineLevel="0" collapsed="false">
      <c r="B25" s="55" t="s">
        <v>476</v>
      </c>
      <c r="C25" s="98" t="n">
        <f aca="false">IFERROR(IF(ISNUMBER(C4),C4,0)+IF(ISNUMBER(C6),C6,0)+IF(ISNUMBER(C9),C9,0)+IF(ISNUMBER(C10),C10,0)+IF(ISNUMBER(C11),C11,0)+IF(ISNUMBER(C14),C14,0)+IF(ISNUMBER(C15),C15,0)+IF(ISNUMBER(C18),C18,0)+IF(ISNUMBER(C19),C19,0)+IF(ISNUMBER(C22),C22,0),0)</f>
        <v>2888</v>
      </c>
      <c r="D25" s="98" t="n">
        <f aca="false">IFERROR(IF(ISNUMBER(D4),D4,0)+IF(ISNUMBER(D6),D6,0)+IF(ISNUMBER(D9),D9,0)+IF(ISNUMBER(D10),D10,0)+IF(ISNUMBER(D11),D11,0)+IF(ISNUMBER(D14),D14,0)+IF(ISNUMBER(D15),D15,0)+IF(ISNUMBER(D18),D18,0)+IF(ISNUMBER(D19),D19,0)+IF(ISNUMBER(D22),D22,0),0)</f>
        <v>1783</v>
      </c>
      <c r="E25" s="98" t="n">
        <f aca="false">IFERROR(IF(ISNUMBER(E4),E4,0)+IF(ISNUMBER(E6),E6,0)+IF(ISNUMBER(E9),E9,0)+IF(ISNUMBER(E10),E10,0)+IF(ISNUMBER(E11),E11,0)+IF(ISNUMBER(E14),E14,0)+IF(ISNUMBER(E15),E15,0)+IF(ISNUMBER(E18),E18,0)+IF(ISNUMBER(E19),E19,0)+IF(ISNUMBER(E22),E22,0),0)</f>
        <v>1783</v>
      </c>
      <c r="F25" s="98" t="n">
        <f aca="false">IFERROR(IF(ISNUMBER(F4),F4,0)+IF(ISNUMBER(F6),F6,0)+IF(ISNUMBER(F9),F9,0)+IF(ISNUMBER(F10),F10,0)+IF(ISNUMBER(F11),F11,0)+IF(ISNUMBER(F14),F14,0)+IF(ISNUMBER(F15),F15,0)+IF(ISNUMBER(F18),F18,0)+IF(ISNUMBER(F19),F19,0)+IF(ISNUMBER(F22),F22,0),0)</f>
        <v>1783</v>
      </c>
      <c r="G25" s="98" t="n">
        <f aca="false">IFERROR(IF(ISNUMBER(G4),G4,0)+IF(ISNUMBER(G6),G6,0)+IF(ISNUMBER(G9),G9,0)+IF(ISNUMBER(G10),G10,0)+IF(ISNUMBER(G11),G11,0)+IF(ISNUMBER(G14),G14,0)+IF(ISNUMBER(G15),G15,0)+IF(ISNUMBER(G18),G18,0)+IF(ISNUMBER(G19),G19,0)+IF(ISNUMBER(G22),G22,0),0)</f>
        <v>1295</v>
      </c>
      <c r="H25" s="98" t="n">
        <f aca="false">IFERROR(IF(ISNUMBER(H4),H4,0)+IF(ISNUMBER(H6),H6,0)+IF(ISNUMBER(H9),H9,0)+IF(ISNUMBER(H10),H10,0)+IF(ISNUMBER(H11),H11,0)+IF(ISNUMBER(H14),H14,0)+IF(ISNUMBER(H15),H15,0)+IF(ISNUMBER(H18),H18,0)+IF(ISNUMBER(H19),H19,0)+IF(ISNUMBER(H22),H22,0),0)</f>
        <v>1295</v>
      </c>
      <c r="I25" s="98" t="n">
        <f aca="false">IFERROR(IF(ISNUMBER(I4),I4,0)+IF(ISNUMBER(I6),I6,0)+IF(ISNUMBER(I9),I9,0)+IF(ISNUMBER(I10),I10,0)+IF(ISNUMBER(I11),I11,0)+IF(ISNUMBER(I14),I14,0)+IF(ISNUMBER(I15),I15,0)+IF(ISNUMBER(I18),I18,0)+IF(ISNUMBER(I19),I19,0)+IF(ISNUMBER(I22),I22,0),0)</f>
        <v>1295</v>
      </c>
      <c r="J25" s="98" t="n">
        <f aca="false">IFERROR(IF(ISNUMBER(J4),J4,0)+IF(ISNUMBER(J6),J6,0)+IF(ISNUMBER(J9),J9,0)+IF(ISNUMBER(J10),J10,0)+IF(ISNUMBER(J11),J11,0)+IF(ISNUMBER(J14),J14,0)+IF(ISNUMBER(J15),J15,0)+IF(ISNUMBER(J18),J18,0)+IF(ISNUMBER(J19),J19,0)+IF(ISNUMBER(J22),J22,0),0)</f>
        <v>1295</v>
      </c>
      <c r="K25" s="98" t="n">
        <f aca="false">IFERROR(IF(ISNUMBER(K4),K4,0)+IF(ISNUMBER(K6),K6,0)+IF(ISNUMBER(K9),K9,0)+IF(ISNUMBER(K10),K10,0)+IF(ISNUMBER(K11),K11,0)+IF(ISNUMBER(K14),K14,0)+IF(ISNUMBER(K15),K15,0)+IF(ISNUMBER(K18),K18,0)+IF(ISNUMBER(K19),K19,0)+IF(ISNUMBER(K22),K22,0),0)</f>
        <v>1295</v>
      </c>
      <c r="L25" s="98" t="n">
        <f aca="false">IFERROR(IF(ISNUMBER(L4),L4,0)+IF(ISNUMBER(L6),L6,0)+IF(ISNUMBER(L9),L9,0)+IF(ISNUMBER(L10),L10,0)+IF(ISNUMBER(L11),L11,0)+IF(ISNUMBER(L14),L14,0)+IF(ISNUMBER(L15),L15,0)+IF(ISNUMBER(L18),L18,0)+IF(ISNUMBER(L19),L19,0)+IF(ISNUMBER(L22),L22,0),0)</f>
        <v>1295</v>
      </c>
      <c r="M25" s="98" t="n">
        <f aca="false">IFERROR(IF(ISNUMBER(M4),M4,0)+IF(ISNUMBER(M6),M6,0)+IF(ISNUMBER(M9),M9,0)+IF(ISNUMBER(M10),M10,0)+IF(ISNUMBER(M11),M11,0)+IF(ISNUMBER(M14),M14,0)+IF(ISNUMBER(M15),M15,0)+IF(ISNUMBER(M18),M18,0)+IF(ISNUMBER(M19),M19,0)+IF(ISNUMBER(M22),M22,0),0)</f>
        <v>1295</v>
      </c>
      <c r="N25" s="98" t="n">
        <f aca="false">IFERROR(IF(ISNUMBER(N4),N4,0)+IF(ISNUMBER(N6),N6,0)+IF(ISNUMBER(N9),N9,0)+IF(ISNUMBER(N10),N10,0)+IF(ISNUMBER(N11),N11,0)+IF(ISNUMBER(N14),N14,0)+IF(ISNUMBER(N15),N15,0)+IF(ISNUMBER(N18),N18,0)+IF(ISNUMBER(N19),N19,0)+IF(ISNUMBER(N22),N22,0),0)</f>
        <v>1295</v>
      </c>
      <c r="O25" s="98" t="n">
        <f aca="false">IFERROR(IF(ISNUMBER(O4),O4,0)+IF(ISNUMBER(O6),O6,0)+IF(ISNUMBER(O9),O9,0)+IF(ISNUMBER(O10),O10,0)+IF(ISNUMBER(O11),O11,0)+IF(ISNUMBER(O14),O14,0)+IF(ISNUMBER(O15),O15,0)+IF(ISNUMBER(O18),O18,0)+IF(ISNUMBER(O19),O19,0)+IF(ISNUMBER(O22),O22,0),0)</f>
        <v>1295</v>
      </c>
      <c r="P25" s="98" t="n">
        <f aca="false">IFERROR(IF(ISNUMBER(P4),P4,0)+IF(ISNUMBER(P6),P6,0)+IF(ISNUMBER(P9),P9,0)+IF(ISNUMBER(P10),P10,0)+IF(ISNUMBER(P11),P11,0)+IF(ISNUMBER(P14),P14,0)+IF(ISNUMBER(P15),P15,0)+IF(ISNUMBER(P18),P18,0)+IF(ISNUMBER(P19),P19,0)+IF(ISNUMBER(P22),P22,0),0)</f>
        <v>1295</v>
      </c>
      <c r="Q25" s="98" t="n">
        <f aca="false">IFERROR(IF(ISNUMBER(Q4),Q4,0)+IF(ISNUMBER(Q6),Q6,0)+IF(ISNUMBER(Q9),Q9,0)+IF(ISNUMBER(Q10),Q10,0)+IF(ISNUMBER(Q11),Q11,0)+IF(ISNUMBER(Q14),Q14,0)+IF(ISNUMBER(Q15),Q15,0)+IF(ISNUMBER(Q18),Q18,0)+IF(ISNUMBER(Q19),Q19,0)+IF(ISNUMBER(Q22),Q22,0),0)</f>
        <v>1295</v>
      </c>
      <c r="R25" s="98" t="n">
        <f aca="false">IFERROR(IF(ISNUMBER(R4),R4,0)+IF(ISNUMBER(R6),R6,0)+IF(ISNUMBER(R9),R9,0)+IF(ISNUMBER(R10),R10,0)+IF(ISNUMBER(R11),R11,0)+IF(ISNUMBER(R14),R14,0)+IF(ISNUMBER(R15),R15,0)+IF(ISNUMBER(R18),R18,0)+IF(ISNUMBER(R19),R19,0)+IF(ISNUMBER(R22),R22,0),0)</f>
        <v>1295</v>
      </c>
      <c r="S25" s="98" t="n">
        <f aca="false">IFERROR(IF(ISNUMBER(S4),S4,0)+IF(ISNUMBER(S6),S6,0)+IF(ISNUMBER(S9),S9,0)+IF(ISNUMBER(S10),S10,0)+IF(ISNUMBER(S11),S11,0)+IF(ISNUMBER(S14),S14,0)+IF(ISNUMBER(S15),S15,0)+IF(ISNUMBER(S18),S18,0)+IF(ISNUMBER(S19),S19,0)+IF(ISNUMBER(S22),S22,0),0)</f>
        <v>1295</v>
      </c>
      <c r="T25" s="98" t="n">
        <f aca="false">IFERROR(IF(ISNUMBER(T4),T4,0)+IF(ISNUMBER(T6),T6,0)+IF(ISNUMBER(T9),T9,0)+IF(ISNUMBER(T10),T10,0)+IF(ISNUMBER(T11),T11,0)+IF(ISNUMBER(T14),T14,0)+IF(ISNUMBER(T15),T15,0)+IF(ISNUMBER(T18),T18,0)+IF(ISNUMBER(T19),T19,0)+IF(ISNUMBER(T22),T22,0),0)</f>
        <v>1295</v>
      </c>
    </row>
  </sheetData>
  <mergeCells count="7">
    <mergeCell ref="B1:T1"/>
    <mergeCell ref="B3:T3"/>
    <mergeCell ref="B8:T8"/>
    <mergeCell ref="B13:T13"/>
    <mergeCell ref="B17:T17"/>
    <mergeCell ref="B21:T21"/>
    <mergeCell ref="B24:T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20" min="3" style="1" width="12"/>
  </cols>
  <sheetData>
    <row r="1" customFormat="false" ht="15.75" hidden="false" customHeight="true" outlineLevel="0" collapsed="false">
      <c r="B1" s="88" t="s">
        <v>477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customFormat="false" ht="15.75" hidden="false" customHeight="true" outlineLevel="0" collapsed="false">
      <c r="B2" s="90" t="s">
        <v>432</v>
      </c>
      <c r="C2" s="91" t="s">
        <v>408</v>
      </c>
      <c r="D2" s="91" t="s">
        <v>409</v>
      </c>
      <c r="E2" s="91" t="s">
        <v>410</v>
      </c>
      <c r="F2" s="91" t="s">
        <v>411</v>
      </c>
      <c r="G2" s="91" t="s">
        <v>412</v>
      </c>
      <c r="H2" s="91" t="s">
        <v>413</v>
      </c>
      <c r="I2" s="91" t="s">
        <v>414</v>
      </c>
      <c r="J2" s="91" t="s">
        <v>415</v>
      </c>
      <c r="K2" s="91" t="s">
        <v>416</v>
      </c>
      <c r="L2" s="91" t="s">
        <v>417</v>
      </c>
      <c r="M2" s="91" t="s">
        <v>418</v>
      </c>
      <c r="N2" s="91" t="s">
        <v>419</v>
      </c>
      <c r="O2" s="91" t="s">
        <v>420</v>
      </c>
      <c r="P2" s="91" t="s">
        <v>421</v>
      </c>
      <c r="Q2" s="91" t="s">
        <v>422</v>
      </c>
      <c r="R2" s="91" t="s">
        <v>423</v>
      </c>
      <c r="S2" s="91" t="s">
        <v>424</v>
      </c>
      <c r="T2" s="91" t="s">
        <v>425</v>
      </c>
    </row>
    <row r="3" customFormat="false" ht="15" hidden="false" customHeight="true" outlineLevel="0" collapsed="false">
      <c r="B3" s="54" t="s">
        <v>478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</row>
    <row r="4" customFormat="false" ht="15" hidden="false" customHeight="true" outlineLevel="0" collapsed="false">
      <c r="B4" s="104" t="s">
        <v>479</v>
      </c>
      <c r="C4" s="105" t="n">
        <f aca="false">Revenue!C14</f>
        <v>0</v>
      </c>
      <c r="D4" s="105" t="n">
        <f aca="false">Revenue!D14</f>
        <v>0</v>
      </c>
      <c r="E4" s="105" t="n">
        <f aca="false">Revenue!E14</f>
        <v>0</v>
      </c>
      <c r="F4" s="105" t="n">
        <f aca="false">Revenue!F14</f>
        <v>0</v>
      </c>
      <c r="G4" s="105" t="n">
        <f aca="false">Revenue!G14</f>
        <v>1506.044</v>
      </c>
      <c r="H4" s="105" t="n">
        <f aca="false">Revenue!H14</f>
        <v>1836.997</v>
      </c>
      <c r="I4" s="105" t="n">
        <f aca="false">Revenue!I14</f>
        <v>2166.229</v>
      </c>
      <c r="J4" s="105" t="n">
        <f aca="false">Revenue!J14</f>
        <v>2448.182</v>
      </c>
      <c r="K4" s="105" t="n">
        <f aca="false">Revenue!K14</f>
        <v>2777.414</v>
      </c>
      <c r="L4" s="105" t="n">
        <f aca="false">Revenue!L14</f>
        <v>3108.367</v>
      </c>
      <c r="M4" s="105" t="n">
        <f aca="false">Revenue!M14</f>
        <v>3437.599</v>
      </c>
      <c r="N4" s="105" t="n">
        <f aca="false">Revenue!N14</f>
        <v>3719.552</v>
      </c>
      <c r="O4" s="105" t="n">
        <f aca="false">Revenue!O14</f>
        <v>4048.784</v>
      </c>
      <c r="P4" s="105" t="n">
        <f aca="false">Revenue!P14</f>
        <v>4379.737</v>
      </c>
      <c r="Q4" s="105" t="n">
        <f aca="false">Revenue!Q14</f>
        <v>4708.969</v>
      </c>
      <c r="R4" s="105" t="n">
        <f aca="false">Revenue!R14</f>
        <v>4990.922</v>
      </c>
      <c r="S4" s="105" t="n">
        <f aca="false">Revenue!S14</f>
        <v>5320.154</v>
      </c>
      <c r="T4" s="105" t="n">
        <f aca="false">Revenue!T14</f>
        <v>5651.107</v>
      </c>
    </row>
    <row r="5" customFormat="false" ht="15" hidden="false" customHeight="true" outlineLevel="0" collapsed="false">
      <c r="B5" s="106" t="s">
        <v>480</v>
      </c>
      <c r="C5" s="101" t="n">
        <f aca="false">-COGS!C13</f>
        <v>-10</v>
      </c>
      <c r="D5" s="101" t="n">
        <f aca="false">-COGS!D13</f>
        <v>-10</v>
      </c>
      <c r="E5" s="101" t="n">
        <f aca="false">-COGS!E13</f>
        <v>-10</v>
      </c>
      <c r="F5" s="101" t="n">
        <f aca="false">-COGS!F13</f>
        <v>-10</v>
      </c>
      <c r="G5" s="101" t="n">
        <f aca="false">-COGS!G13</f>
        <v>-37.052096</v>
      </c>
      <c r="H5" s="101" t="n">
        <f aca="false">-COGS!H13</f>
        <v>-37.500992</v>
      </c>
      <c r="I5" s="101" t="n">
        <f aca="false">-COGS!I13</f>
        <v>-37.949888</v>
      </c>
      <c r="J5" s="101" t="n">
        <f aca="false">-COGS!J13</f>
        <v>-38.334656</v>
      </c>
      <c r="K5" s="101" t="n">
        <f aca="false">-COGS!K13</f>
        <v>-38.783552</v>
      </c>
      <c r="L5" s="101" t="n">
        <f aca="false">-COGS!L13</f>
        <v>-39.232448</v>
      </c>
      <c r="M5" s="101" t="n">
        <f aca="false">-COGS!M13</f>
        <v>-39.681344</v>
      </c>
      <c r="N5" s="101" t="n">
        <f aca="false">-COGS!N13</f>
        <v>-40.066112</v>
      </c>
      <c r="O5" s="101" t="n">
        <f aca="false">-COGS!O13</f>
        <v>-40.515008</v>
      </c>
      <c r="P5" s="101" t="n">
        <f aca="false">-COGS!P13</f>
        <v>-40.963904</v>
      </c>
      <c r="Q5" s="101" t="n">
        <f aca="false">-COGS!Q13</f>
        <v>-41.4128</v>
      </c>
      <c r="R5" s="101" t="n">
        <f aca="false">-COGS!R13</f>
        <v>-41.797568</v>
      </c>
      <c r="S5" s="101" t="n">
        <f aca="false">-COGS!S13</f>
        <v>-42.246464</v>
      </c>
      <c r="T5" s="101" t="n">
        <f aca="false">-COGS!T13</f>
        <v>-42.69536</v>
      </c>
    </row>
    <row r="6" customFormat="false" ht="15" hidden="false" customHeight="true" outlineLevel="0" collapsed="false">
      <c r="B6" s="55" t="s">
        <v>481</v>
      </c>
      <c r="C6" s="98" t="n">
        <f aca="false">IFERROR(C4+C5,0)</f>
        <v>-10</v>
      </c>
      <c r="D6" s="98" t="n">
        <f aca="false">IFERROR(D4+D5,0)</f>
        <v>-10</v>
      </c>
      <c r="E6" s="98" t="n">
        <f aca="false">IFERROR(E4+E5,0)</f>
        <v>-10</v>
      </c>
      <c r="F6" s="98" t="n">
        <f aca="false">IFERROR(F4+F5,0)</f>
        <v>-10</v>
      </c>
      <c r="G6" s="98" t="n">
        <f aca="false">IFERROR(G4+G5,0)</f>
        <v>1468.991904</v>
      </c>
      <c r="H6" s="98" t="n">
        <f aca="false">IFERROR(H4+H5,0)</f>
        <v>1799.496008</v>
      </c>
      <c r="I6" s="98" t="n">
        <f aca="false">IFERROR(I4+I5,0)</f>
        <v>2128.279112</v>
      </c>
      <c r="J6" s="98" t="n">
        <f aca="false">IFERROR(J4+J5,0)</f>
        <v>2409.847344</v>
      </c>
      <c r="K6" s="98" t="n">
        <f aca="false">IFERROR(K4+K5,0)</f>
        <v>2738.630448</v>
      </c>
      <c r="L6" s="98" t="n">
        <f aca="false">IFERROR(L4+L5,0)</f>
        <v>3069.134552</v>
      </c>
      <c r="M6" s="98" t="n">
        <f aca="false">IFERROR(M4+M5,0)</f>
        <v>3397.917656</v>
      </c>
      <c r="N6" s="98" t="n">
        <f aca="false">IFERROR(N4+N5,0)</f>
        <v>3679.485888</v>
      </c>
      <c r="O6" s="98" t="n">
        <f aca="false">IFERROR(O4+O5,0)</f>
        <v>4008.268992</v>
      </c>
      <c r="P6" s="98" t="n">
        <f aca="false">IFERROR(P4+P5,0)</f>
        <v>4338.773096</v>
      </c>
      <c r="Q6" s="98" t="n">
        <f aca="false">IFERROR(Q4+Q5,0)</f>
        <v>4667.5562</v>
      </c>
      <c r="R6" s="98" t="n">
        <f aca="false">IFERROR(R4+R5,0)</f>
        <v>4949.124432</v>
      </c>
      <c r="S6" s="98" t="n">
        <f aca="false">IFERROR(S4+S5,0)</f>
        <v>5277.907536</v>
      </c>
      <c r="T6" s="98" t="n">
        <f aca="false">IFERROR(T4+T5,0)</f>
        <v>5608.41164</v>
      </c>
    </row>
    <row r="7" customFormat="false" ht="15" hidden="false" customHeight="true" outlineLevel="0" collapsed="false">
      <c r="B7" s="55" t="s">
        <v>482</v>
      </c>
      <c r="C7" s="107" t="str">
        <f aca="false">IFERROR(C6/C4,"-")</f>
        <v>-</v>
      </c>
      <c r="D7" s="107" t="str">
        <f aca="false">IFERROR(D6/D4,"-")</f>
        <v>-</v>
      </c>
      <c r="E7" s="107" t="str">
        <f aca="false">IFERROR(E6/E4,"-")</f>
        <v>-</v>
      </c>
      <c r="F7" s="107" t="str">
        <f aca="false">IFERROR(F6/F4,"-")</f>
        <v>-</v>
      </c>
      <c r="G7" s="107" t="n">
        <f aca="false">IFERROR(G6/G4,"-")</f>
        <v>0.975397733399556</v>
      </c>
      <c r="H7" s="107" t="n">
        <f aca="false">IFERROR(H6/H4,"-")</f>
        <v>0.979585708632077</v>
      </c>
      <c r="I7" s="107" t="n">
        <f aca="false">IFERROR(I6/I4,"-")</f>
        <v>0.982481128264833</v>
      </c>
      <c r="J7" s="107" t="n">
        <f aca="false">IFERROR(J6/J4,"-")</f>
        <v>0.98434158244771</v>
      </c>
      <c r="K7" s="107" t="n">
        <f aca="false">IFERROR(K6/K4,"-")</f>
        <v>0.986036092566683</v>
      </c>
      <c r="L7" s="107" t="n">
        <f aca="false">IFERROR(L6/L4,"-")</f>
        <v>0.987378437616922</v>
      </c>
      <c r="M7" s="107" t="n">
        <f aca="false">IFERROR(M6/M4,"-")</f>
        <v>0.988456668738849</v>
      </c>
      <c r="N7" s="107" t="n">
        <f aca="false">IFERROR(N6/N4,"-")</f>
        <v>0.989228242541037</v>
      </c>
      <c r="O7" s="107" t="n">
        <f aca="false">IFERROR(O6/O4,"-")</f>
        <v>0.989993289837146</v>
      </c>
      <c r="P7" s="107" t="n">
        <f aca="false">IFERROR(P6/P4,"-")</f>
        <v>0.990646948892137</v>
      </c>
      <c r="Q7" s="107" t="n">
        <f aca="false">IFERROR(Q6/Q4,"-")</f>
        <v>0.991205548390741</v>
      </c>
      <c r="R7" s="107" t="n">
        <f aca="false">IFERROR(R6/R4,"-")</f>
        <v>0.991625281260657</v>
      </c>
      <c r="S7" s="107" t="n">
        <f aca="false">IFERROR(S6/S4,"-")</f>
        <v>0.992059165204616</v>
      </c>
      <c r="T7" s="107" t="n">
        <f aca="false">IFERROR(T6/T4,"-")</f>
        <v>0.992444779403398</v>
      </c>
    </row>
    <row r="9" customFormat="false" ht="15" hidden="false" customHeight="true" outlineLevel="0" collapsed="false">
      <c r="B9" s="106" t="s">
        <v>483</v>
      </c>
      <c r="C9" s="101" t="n">
        <f aca="false">-OpEx!C25</f>
        <v>-2888</v>
      </c>
      <c r="D9" s="101" t="n">
        <f aca="false">-OpEx!D25</f>
        <v>-1783</v>
      </c>
      <c r="E9" s="101" t="n">
        <f aca="false">-OpEx!E25</f>
        <v>-1783</v>
      </c>
      <c r="F9" s="101" t="n">
        <f aca="false">-OpEx!F25</f>
        <v>-1783</v>
      </c>
      <c r="G9" s="101" t="n">
        <f aca="false">-OpEx!G25</f>
        <v>-1295</v>
      </c>
      <c r="H9" s="101" t="n">
        <f aca="false">-OpEx!H25</f>
        <v>-1295</v>
      </c>
      <c r="I9" s="101" t="n">
        <f aca="false">-OpEx!I25</f>
        <v>-1295</v>
      </c>
      <c r="J9" s="101" t="n">
        <f aca="false">-OpEx!J25</f>
        <v>-1295</v>
      </c>
      <c r="K9" s="101" t="n">
        <f aca="false">-OpEx!K25</f>
        <v>-1295</v>
      </c>
      <c r="L9" s="101" t="n">
        <f aca="false">-OpEx!L25</f>
        <v>-1295</v>
      </c>
      <c r="M9" s="101" t="n">
        <f aca="false">-OpEx!M25</f>
        <v>-1295</v>
      </c>
      <c r="N9" s="101" t="n">
        <f aca="false">-OpEx!N25</f>
        <v>-1295</v>
      </c>
      <c r="O9" s="101" t="n">
        <f aca="false">-OpEx!O25</f>
        <v>-1295</v>
      </c>
      <c r="P9" s="101" t="n">
        <f aca="false">-OpEx!P25</f>
        <v>-1295</v>
      </c>
      <c r="Q9" s="101" t="n">
        <f aca="false">-OpEx!Q25</f>
        <v>-1295</v>
      </c>
      <c r="R9" s="101" t="n">
        <f aca="false">-OpEx!R25</f>
        <v>-1295</v>
      </c>
      <c r="S9" s="101" t="n">
        <f aca="false">-OpEx!S25</f>
        <v>-1295</v>
      </c>
      <c r="T9" s="101" t="n">
        <f aca="false">-OpEx!T25</f>
        <v>-1295</v>
      </c>
    </row>
    <row r="10" customFormat="false" ht="15" hidden="false" customHeight="true" outlineLevel="0" collapsed="false">
      <c r="B10" s="55" t="s">
        <v>484</v>
      </c>
      <c r="C10" s="98" t="n">
        <f aca="false">IFERROR(C6+C9,0)</f>
        <v>-2898</v>
      </c>
      <c r="D10" s="98" t="n">
        <f aca="false">IFERROR(D6+D9,0)</f>
        <v>-1793</v>
      </c>
      <c r="E10" s="98" t="n">
        <f aca="false">IFERROR(E6+E9,0)</f>
        <v>-1793</v>
      </c>
      <c r="F10" s="98" t="n">
        <f aca="false">IFERROR(F6+F9,0)</f>
        <v>-1793</v>
      </c>
      <c r="G10" s="98" t="n">
        <f aca="false">IFERROR(G6+G9,0)</f>
        <v>173.991904</v>
      </c>
      <c r="H10" s="98" t="n">
        <f aca="false">IFERROR(H6+H9,0)</f>
        <v>504.496008</v>
      </c>
      <c r="I10" s="98" t="n">
        <f aca="false">IFERROR(I6+I9,0)</f>
        <v>833.279112</v>
      </c>
      <c r="J10" s="98" t="n">
        <f aca="false">IFERROR(J6+J9,0)</f>
        <v>1114.847344</v>
      </c>
      <c r="K10" s="98" t="n">
        <f aca="false">IFERROR(K6+K9,0)</f>
        <v>1443.630448</v>
      </c>
      <c r="L10" s="98" t="n">
        <f aca="false">IFERROR(L6+L9,0)</f>
        <v>1774.134552</v>
      </c>
      <c r="M10" s="98" t="n">
        <f aca="false">IFERROR(M6+M9,0)</f>
        <v>2102.917656</v>
      </c>
      <c r="N10" s="98" t="n">
        <f aca="false">IFERROR(N6+N9,0)</f>
        <v>2384.485888</v>
      </c>
      <c r="O10" s="98" t="n">
        <f aca="false">IFERROR(O6+O9,0)</f>
        <v>2713.268992</v>
      </c>
      <c r="P10" s="98" t="n">
        <f aca="false">IFERROR(P6+P9,0)</f>
        <v>3043.773096</v>
      </c>
      <c r="Q10" s="98" t="n">
        <f aca="false">IFERROR(Q6+Q9,0)</f>
        <v>3372.5562</v>
      </c>
      <c r="R10" s="98" t="n">
        <f aca="false">IFERROR(R6+R9,0)</f>
        <v>3654.124432</v>
      </c>
      <c r="S10" s="98" t="n">
        <f aca="false">IFERROR(S6+S9,0)</f>
        <v>3982.907536</v>
      </c>
      <c r="T10" s="98" t="n">
        <f aca="false">IFERROR(T6+T9,0)</f>
        <v>4313.41164</v>
      </c>
    </row>
    <row r="11" customFormat="false" ht="15" hidden="false" customHeight="true" outlineLevel="0" collapsed="false">
      <c r="B11" s="55" t="s">
        <v>485</v>
      </c>
      <c r="C11" s="97" t="n">
        <f aca="false">C10</f>
        <v>-2898</v>
      </c>
      <c r="D11" s="97" t="n">
        <f aca="false">C11+D10</f>
        <v>-4691</v>
      </c>
      <c r="E11" s="97" t="n">
        <f aca="false">D11+E10</f>
        <v>-6484</v>
      </c>
      <c r="F11" s="97" t="n">
        <f aca="false">E11+F10</f>
        <v>-8277</v>
      </c>
      <c r="G11" s="97" t="n">
        <f aca="false">F11+G10</f>
        <v>-8103.008096</v>
      </c>
      <c r="H11" s="97" t="n">
        <f aca="false">G11+H10</f>
        <v>-7598.512088</v>
      </c>
      <c r="I11" s="97" t="n">
        <f aca="false">H11+I10</f>
        <v>-6765.232976</v>
      </c>
      <c r="J11" s="97" t="n">
        <f aca="false">I11+J10</f>
        <v>-5650.385632</v>
      </c>
      <c r="K11" s="97" t="n">
        <f aca="false">J11+K10</f>
        <v>-4206.755184</v>
      </c>
      <c r="L11" s="97" t="n">
        <f aca="false">K11+L10</f>
        <v>-2432.620632</v>
      </c>
      <c r="M11" s="97" t="n">
        <f aca="false">L11+M10</f>
        <v>-329.702976</v>
      </c>
      <c r="N11" s="97" t="n">
        <f aca="false">M11+N10</f>
        <v>2054.782912</v>
      </c>
      <c r="O11" s="97" t="n">
        <f aca="false">N11+O10</f>
        <v>4768.051904</v>
      </c>
      <c r="P11" s="97" t="n">
        <f aca="false">O11+P10</f>
        <v>7811.825</v>
      </c>
      <c r="Q11" s="97" t="n">
        <f aca="false">P11+Q10</f>
        <v>11184.3812</v>
      </c>
      <c r="R11" s="97" t="n">
        <f aca="false">Q11+R10</f>
        <v>14838.505632</v>
      </c>
      <c r="S11" s="97" t="n">
        <f aca="false">R11+S10</f>
        <v>18821.413168</v>
      </c>
      <c r="T11" s="97" t="n">
        <f aca="false">S11+T10</f>
        <v>23134.824808</v>
      </c>
    </row>
    <row r="13" customFormat="false" ht="15" hidden="false" customHeight="true" outlineLevel="0" collapsed="false">
      <c r="B13" s="54" t="s">
        <v>486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</row>
    <row r="14" customFormat="false" ht="15" hidden="false" customHeight="true" outlineLevel="0" collapsed="false">
      <c r="B14" s="106" t="s">
        <v>487</v>
      </c>
      <c r="C14" s="93" t="n">
        <f aca="false">Revenue!C6</f>
        <v>0</v>
      </c>
      <c r="D14" s="93" t="n">
        <f aca="false">Revenue!D6</f>
        <v>0</v>
      </c>
      <c r="E14" s="93" t="n">
        <f aca="false">Revenue!E6</f>
        <v>0</v>
      </c>
      <c r="F14" s="93" t="n">
        <f aca="false">Revenue!F6</f>
        <v>0</v>
      </c>
      <c r="G14" s="93" t="n">
        <f aca="false">Revenue!G6</f>
        <v>32</v>
      </c>
      <c r="H14" s="93" t="n">
        <f aca="false">Revenue!H6</f>
        <v>39</v>
      </c>
      <c r="I14" s="93" t="n">
        <f aca="false">Revenue!I6</f>
        <v>46</v>
      </c>
      <c r="J14" s="93" t="n">
        <f aca="false">Revenue!J6</f>
        <v>52</v>
      </c>
      <c r="K14" s="93" t="n">
        <f aca="false">Revenue!K6</f>
        <v>59</v>
      </c>
      <c r="L14" s="93" t="n">
        <f aca="false">Revenue!L6</f>
        <v>66</v>
      </c>
      <c r="M14" s="93" t="n">
        <f aca="false">Revenue!M6</f>
        <v>73</v>
      </c>
      <c r="N14" s="93" t="n">
        <f aca="false">Revenue!N6</f>
        <v>79</v>
      </c>
      <c r="O14" s="93" t="n">
        <f aca="false">Revenue!O6</f>
        <v>86</v>
      </c>
      <c r="P14" s="93" t="n">
        <f aca="false">Revenue!P6</f>
        <v>93</v>
      </c>
      <c r="Q14" s="93" t="n">
        <f aca="false">Revenue!Q6</f>
        <v>100</v>
      </c>
      <c r="R14" s="93" t="n">
        <f aca="false">Revenue!R6</f>
        <v>106</v>
      </c>
      <c r="S14" s="93" t="n">
        <f aca="false">Revenue!S6</f>
        <v>113</v>
      </c>
      <c r="T14" s="93" t="n">
        <f aca="false">Revenue!T6</f>
        <v>120</v>
      </c>
    </row>
    <row r="15" customFormat="false" ht="15" hidden="false" customHeight="true" outlineLevel="0" collapsed="false">
      <c r="B15" s="106" t="s">
        <v>488</v>
      </c>
      <c r="C15" s="93" t="n">
        <f aca="false">Revenue!C9</f>
        <v>0</v>
      </c>
      <c r="D15" s="93" t="n">
        <f aca="false">Revenue!D9</f>
        <v>0</v>
      </c>
      <c r="E15" s="93" t="n">
        <f aca="false">Revenue!E9</f>
        <v>0</v>
      </c>
      <c r="F15" s="93" t="n">
        <f aca="false">Revenue!F9</f>
        <v>0</v>
      </c>
      <c r="G15" s="93" t="n">
        <f aca="false">Revenue!G9</f>
        <v>32</v>
      </c>
      <c r="H15" s="93" t="n">
        <f aca="false">Revenue!H9</f>
        <v>71</v>
      </c>
      <c r="I15" s="93" t="n">
        <f aca="false">Revenue!I9</f>
        <v>117</v>
      </c>
      <c r="J15" s="93" t="n">
        <f aca="false">Revenue!J9</f>
        <v>169</v>
      </c>
      <c r="K15" s="93" t="n">
        <f aca="false">Revenue!K9</f>
        <v>228</v>
      </c>
      <c r="L15" s="93" t="n">
        <f aca="false">Revenue!L9</f>
        <v>294</v>
      </c>
      <c r="M15" s="93" t="n">
        <f aca="false">Revenue!M9</f>
        <v>367</v>
      </c>
      <c r="N15" s="93" t="n">
        <f aca="false">Revenue!N9</f>
        <v>446</v>
      </c>
      <c r="O15" s="93" t="n">
        <f aca="false">Revenue!O9</f>
        <v>532</v>
      </c>
      <c r="P15" s="93" t="n">
        <f aca="false">Revenue!P9</f>
        <v>625</v>
      </c>
      <c r="Q15" s="93" t="n">
        <f aca="false">Revenue!Q9</f>
        <v>725</v>
      </c>
      <c r="R15" s="93" t="n">
        <f aca="false">Revenue!R9</f>
        <v>831</v>
      </c>
      <c r="S15" s="93" t="n">
        <f aca="false">Revenue!S9</f>
        <v>944</v>
      </c>
      <c r="T15" s="93" t="n">
        <f aca="false">Revenue!T9</f>
        <v>1064</v>
      </c>
    </row>
  </sheetData>
  <mergeCells count="3">
    <mergeCell ref="B1:T1"/>
    <mergeCell ref="B3:T3"/>
    <mergeCell ref="B13:T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20" min="3" style="1" width="8"/>
  </cols>
  <sheetData>
    <row r="1" customFormat="false" ht="17.25" hidden="false" customHeight="true" outlineLevel="0" collapsed="false">
      <c r="B1" s="108" t="s">
        <v>489</v>
      </c>
    </row>
    <row r="2" customFormat="false" ht="15" hidden="false" customHeight="true" outlineLevel="0" collapsed="false">
      <c r="B2" s="23" t="s">
        <v>490</v>
      </c>
    </row>
    <row r="4" customFormat="false" ht="15" hidden="false" customHeight="true" outlineLevel="0" collapsed="false">
      <c r="B4" s="26" t="s">
        <v>407</v>
      </c>
      <c r="C4" s="86" t="s">
        <v>408</v>
      </c>
      <c r="D4" s="86" t="s">
        <v>409</v>
      </c>
      <c r="E4" s="86" t="s">
        <v>410</v>
      </c>
      <c r="F4" s="86" t="s">
        <v>411</v>
      </c>
      <c r="G4" s="86" t="s">
        <v>412</v>
      </c>
      <c r="H4" s="86" t="s">
        <v>413</v>
      </c>
      <c r="I4" s="86" t="s">
        <v>414</v>
      </c>
      <c r="J4" s="86" t="s">
        <v>415</v>
      </c>
      <c r="K4" s="86" t="s">
        <v>416</v>
      </c>
      <c r="L4" s="86" t="s">
        <v>417</v>
      </c>
      <c r="M4" s="86" t="s">
        <v>418</v>
      </c>
      <c r="N4" s="86" t="s">
        <v>419</v>
      </c>
      <c r="O4" s="86" t="s">
        <v>420</v>
      </c>
      <c r="P4" s="86" t="s">
        <v>421</v>
      </c>
      <c r="Q4" s="86" t="s">
        <v>422</v>
      </c>
      <c r="R4" s="86" t="s">
        <v>423</v>
      </c>
      <c r="S4" s="86" t="s">
        <v>424</v>
      </c>
      <c r="T4" s="86" t="s">
        <v>425</v>
      </c>
    </row>
    <row r="6" customFormat="false" ht="15" hidden="false" customHeight="true" outlineLevel="0" collapsed="false">
      <c r="B6" s="71" t="s">
        <v>491</v>
      </c>
    </row>
    <row r="7" customFormat="false" ht="51.75" hidden="false" customHeight="true" outlineLevel="0" collapsed="false">
      <c r="B7" s="109" t="s">
        <v>492</v>
      </c>
      <c r="C7" s="109" t="s">
        <v>493</v>
      </c>
      <c r="D7" s="109" t="s">
        <v>494</v>
      </c>
      <c r="E7" s="109" t="s">
        <v>495</v>
      </c>
      <c r="F7" s="109" t="s">
        <v>496</v>
      </c>
      <c r="G7" s="109" t="s">
        <v>497</v>
      </c>
      <c r="H7" s="109" t="s">
        <v>498</v>
      </c>
      <c r="I7" s="109" t="s">
        <v>499</v>
      </c>
    </row>
    <row r="8" customFormat="false" ht="15" hidden="false" customHeight="true" outlineLevel="0" collapsed="false">
      <c r="B8" s="72" t="s">
        <v>500</v>
      </c>
      <c r="C8" s="110" t="n">
        <f aca="false">C15</f>
        <v>3</v>
      </c>
      <c r="D8" s="110" t="n">
        <f aca="false">T18</f>
        <v>94</v>
      </c>
      <c r="E8" s="111" t="n">
        <f aca="false">SUM(C21:T21)</f>
        <v>38515.89</v>
      </c>
      <c r="F8" s="110" t="n">
        <f aca="false">T20</f>
        <v>818</v>
      </c>
      <c r="G8" s="111" t="n">
        <f aca="false">T26</f>
        <v>11566.433296</v>
      </c>
      <c r="H8" s="112" t="n">
        <f aca="false">IF(COUNT(C27:T27)=0,"—",MIN(C27:T27))</f>
        <v>13</v>
      </c>
      <c r="I8" s="111" t="n">
        <f aca="false">MIN(C26:T26)</f>
        <v>-8277</v>
      </c>
    </row>
    <row r="9" customFormat="false" ht="15" hidden="false" customHeight="true" outlineLevel="0" collapsed="false">
      <c r="B9" s="113" t="s">
        <v>501</v>
      </c>
      <c r="C9" s="114" t="n">
        <f aca="false">C32</f>
        <v>5</v>
      </c>
      <c r="D9" s="114" t="n">
        <f aca="false">T35</f>
        <v>133</v>
      </c>
      <c r="E9" s="115" t="n">
        <f aca="false">SUM(C38:T38)</f>
        <v>50100.057</v>
      </c>
      <c r="F9" s="114" t="n">
        <f aca="false">T37</f>
        <v>1064</v>
      </c>
      <c r="G9" s="115" t="n">
        <f aca="false">T43</f>
        <v>23134.824808</v>
      </c>
      <c r="H9" s="116" t="n">
        <f aca="false">IF(COUNT(C44:T44)=0,"—",MIN(C44:T44))</f>
        <v>12</v>
      </c>
      <c r="I9" s="115" t="n">
        <f aca="false">MIN(C43:T43)</f>
        <v>-8277</v>
      </c>
    </row>
    <row r="10" customFormat="false" ht="15" hidden="false" customHeight="true" outlineLevel="0" collapsed="false">
      <c r="B10" s="72" t="s">
        <v>502</v>
      </c>
      <c r="C10" s="110" t="n">
        <f aca="false">C49</f>
        <v>8</v>
      </c>
      <c r="D10" s="110" t="n">
        <f aca="false">T52</f>
        <v>192</v>
      </c>
      <c r="E10" s="111" t="n">
        <f aca="false">SUM(C55:T55)</f>
        <v>67617.284</v>
      </c>
      <c r="F10" s="110" t="n">
        <f aca="false">T54</f>
        <v>1436</v>
      </c>
      <c r="G10" s="111" t="n">
        <f aca="false">T60</f>
        <v>40628.196192</v>
      </c>
      <c r="H10" s="112" t="n">
        <f aca="false">IF(COUNT(C61:T61)=0,"—",MIN(C61:T61))</f>
        <v>10</v>
      </c>
      <c r="I10" s="111" t="n">
        <f aca="false">MIN(C60:T60)</f>
        <v>-8277</v>
      </c>
    </row>
    <row r="14" customFormat="false" ht="15" hidden="false" customHeight="true" outlineLevel="0" collapsed="false">
      <c r="B14" s="117" t="s">
        <v>503</v>
      </c>
    </row>
    <row r="15" customFormat="false" ht="15" hidden="false" customHeight="true" outlineLevel="0" collapsed="false">
      <c r="B15" s="72" t="s">
        <v>504</v>
      </c>
      <c r="C15" s="118" t="n">
        <v>3</v>
      </c>
    </row>
    <row r="17" customFormat="false" ht="15" hidden="false" customHeight="true" outlineLevel="0" collapsed="false">
      <c r="B17" s="72" t="s">
        <v>505</v>
      </c>
      <c r="C17" s="110" t="n">
        <v>0</v>
      </c>
      <c r="D17" s="110" t="n">
        <v>0</v>
      </c>
      <c r="E17" s="110" t="n">
        <v>0</v>
      </c>
      <c r="F17" s="110" t="n">
        <v>0</v>
      </c>
      <c r="G17" s="110" t="n">
        <f aca="false">Assumptions!$C$78</f>
        <v>7</v>
      </c>
      <c r="H17" s="110" t="n">
        <f aca="false">G17+$C$15</f>
        <v>10</v>
      </c>
      <c r="I17" s="110" t="n">
        <f aca="false">H17+$C$15</f>
        <v>13</v>
      </c>
      <c r="J17" s="110" t="n">
        <f aca="false">I17+$C$15</f>
        <v>16</v>
      </c>
      <c r="K17" s="110" t="n">
        <f aca="false">J17+$C$15</f>
        <v>19</v>
      </c>
      <c r="L17" s="110" t="n">
        <f aca="false">K17+$C$15</f>
        <v>22</v>
      </c>
      <c r="M17" s="110" t="n">
        <f aca="false">L17+$C$15</f>
        <v>25</v>
      </c>
      <c r="N17" s="110" t="n">
        <f aca="false">M17+$C$15</f>
        <v>28</v>
      </c>
      <c r="O17" s="110" t="n">
        <f aca="false">N17+$C$15</f>
        <v>31</v>
      </c>
      <c r="P17" s="110" t="n">
        <f aca="false">O17+$C$15</f>
        <v>34</v>
      </c>
      <c r="Q17" s="110" t="n">
        <f aca="false">P17+$C$15</f>
        <v>37</v>
      </c>
      <c r="R17" s="110" t="n">
        <f aca="false">Q17+$C$15</f>
        <v>40</v>
      </c>
      <c r="S17" s="110" t="n">
        <f aca="false">R17+$C$15</f>
        <v>43</v>
      </c>
      <c r="T17" s="110" t="n">
        <f aca="false">S17+$C$15</f>
        <v>46</v>
      </c>
    </row>
    <row r="18" customFormat="false" ht="15" hidden="false" customHeight="true" outlineLevel="0" collapsed="false">
      <c r="B18" s="72" t="s">
        <v>506</v>
      </c>
      <c r="C18" s="110" t="n">
        <v>0</v>
      </c>
      <c r="D18" s="110" t="n">
        <v>0</v>
      </c>
      <c r="E18" s="110" t="n">
        <v>0</v>
      </c>
      <c r="F18" s="110" t="n">
        <v>0</v>
      </c>
      <c r="G18" s="110" t="n">
        <f aca="false">ROUND(G17*Assumptions!$C$80*Assumptions!$C$81,0)+ROUND(Assumptions!$C$70/Assumptions!$C$14,0)</f>
        <v>36</v>
      </c>
      <c r="H18" s="110" t="n">
        <f aca="false">ROUND(H17*Assumptions!$C$80*Assumptions!$C$81,0)+ROUND(Assumptions!$C$70/Assumptions!$C$14,0)</f>
        <v>40</v>
      </c>
      <c r="I18" s="110" t="n">
        <f aca="false">ROUND(I17*Assumptions!$C$80*Assumptions!$C$81,0)+ROUND(Assumptions!$C$70/Assumptions!$C$14,0)</f>
        <v>45</v>
      </c>
      <c r="J18" s="110" t="n">
        <f aca="false">ROUND(J17*Assumptions!$C$80*Assumptions!$C$81,0)+ROUND(Assumptions!$C$70/Assumptions!$C$14,0)</f>
        <v>49</v>
      </c>
      <c r="K18" s="110" t="n">
        <f aca="false">ROUND(K17*Assumptions!$C$80*Assumptions!$C$81,0)+ROUND(Assumptions!$C$70/Assumptions!$C$14,0)</f>
        <v>54</v>
      </c>
      <c r="L18" s="110" t="n">
        <f aca="false">ROUND(L17*Assumptions!$C$80*Assumptions!$C$81,0)+ROUND(Assumptions!$C$70/Assumptions!$C$14,0)</f>
        <v>58</v>
      </c>
      <c r="M18" s="110" t="n">
        <f aca="false">ROUND(M17*Assumptions!$C$80*Assumptions!$C$81,0)+ROUND(Assumptions!$C$70/Assumptions!$C$14,0)</f>
        <v>63</v>
      </c>
      <c r="N18" s="110" t="n">
        <f aca="false">ROUND(N17*Assumptions!$C$80*Assumptions!$C$81,0)+ROUND(Assumptions!$C$70/Assumptions!$C$14,0)</f>
        <v>67</v>
      </c>
      <c r="O18" s="110" t="n">
        <f aca="false">ROUND(O17*Assumptions!$C$80*Assumptions!$C$81,0)+ROUND(Assumptions!$C$70/Assumptions!$C$14,0)</f>
        <v>72</v>
      </c>
      <c r="P18" s="110" t="n">
        <f aca="false">ROUND(P17*Assumptions!$C$80*Assumptions!$C$81,0)+ROUND(Assumptions!$C$70/Assumptions!$C$14,0)</f>
        <v>76</v>
      </c>
      <c r="Q18" s="110" t="n">
        <f aca="false">ROUND(Q17*Assumptions!$C$80*Assumptions!$C$81,0)+ROUND(Assumptions!$C$70/Assumptions!$C$14,0)</f>
        <v>81</v>
      </c>
      <c r="R18" s="110" t="n">
        <f aca="false">ROUND(R17*Assumptions!$C$80*Assumptions!$C$81,0)+ROUND(Assumptions!$C$70/Assumptions!$C$14,0)</f>
        <v>85</v>
      </c>
      <c r="S18" s="110" t="n">
        <f aca="false">ROUND(S17*Assumptions!$C$80*Assumptions!$C$81,0)+ROUND(Assumptions!$C$70/Assumptions!$C$14,0)</f>
        <v>90</v>
      </c>
      <c r="T18" s="110" t="n">
        <f aca="false">ROUND(T17*Assumptions!$C$80*Assumptions!$C$81,0)+ROUND(Assumptions!$C$70/Assumptions!$C$14,0)</f>
        <v>94</v>
      </c>
    </row>
    <row r="19" customFormat="false" ht="15" hidden="false" customHeight="true" outlineLevel="0" collapsed="false">
      <c r="B19" s="72" t="s">
        <v>507</v>
      </c>
      <c r="C19" s="110" t="n">
        <v>0</v>
      </c>
      <c r="D19" s="110" t="n">
        <v>0</v>
      </c>
      <c r="E19" s="110" t="n">
        <v>0</v>
      </c>
      <c r="F19" s="110" t="n">
        <v>0</v>
      </c>
      <c r="G19" s="110" t="n">
        <f aca="false">G18-ROUND(G18*Assumptions!$C$6,0)</f>
        <v>32</v>
      </c>
      <c r="H19" s="110" t="n">
        <f aca="false">H18-ROUND(H18*Assumptions!$C$6,0)</f>
        <v>36</v>
      </c>
      <c r="I19" s="110" t="n">
        <f aca="false">I18-ROUND(I18*Assumptions!$C$6,0)</f>
        <v>40</v>
      </c>
      <c r="J19" s="110" t="n">
        <f aca="false">J18-ROUND(J18*Assumptions!$C$6,0)</f>
        <v>44</v>
      </c>
      <c r="K19" s="110" t="n">
        <f aca="false">K18-ROUND(K18*Assumptions!$C$6,0)</f>
        <v>49</v>
      </c>
      <c r="L19" s="110" t="n">
        <f aca="false">L18-ROUND(L18*Assumptions!$C$6,0)</f>
        <v>52</v>
      </c>
      <c r="M19" s="110" t="n">
        <f aca="false">M18-ROUND(M18*Assumptions!$C$6,0)</f>
        <v>57</v>
      </c>
      <c r="N19" s="110" t="n">
        <f aca="false">N18-ROUND(N18*Assumptions!$C$6,0)</f>
        <v>60</v>
      </c>
      <c r="O19" s="110" t="n">
        <f aca="false">O18-ROUND(O18*Assumptions!$C$6,0)</f>
        <v>65</v>
      </c>
      <c r="P19" s="110" t="n">
        <f aca="false">P18-ROUND(P18*Assumptions!$C$6,0)</f>
        <v>68</v>
      </c>
      <c r="Q19" s="110" t="n">
        <f aca="false">Q18-ROUND(Q18*Assumptions!$C$6,0)</f>
        <v>73</v>
      </c>
      <c r="R19" s="110" t="n">
        <f aca="false">R18-ROUND(R18*Assumptions!$C$6,0)</f>
        <v>76</v>
      </c>
      <c r="S19" s="110" t="n">
        <f aca="false">S18-ROUND(S18*Assumptions!$C$6,0)</f>
        <v>81</v>
      </c>
      <c r="T19" s="110" t="n">
        <f aca="false">T18-ROUND(T18*Assumptions!$C$6,0)</f>
        <v>85</v>
      </c>
    </row>
    <row r="20" customFormat="false" ht="15" hidden="false" customHeight="true" outlineLevel="0" collapsed="false">
      <c r="B20" s="72" t="s">
        <v>508</v>
      </c>
      <c r="C20" s="110" t="n">
        <f aca="false">C19</f>
        <v>0</v>
      </c>
      <c r="D20" s="110" t="n">
        <f aca="false">C20+D19</f>
        <v>0</v>
      </c>
      <c r="E20" s="110" t="n">
        <f aca="false">D20+E19</f>
        <v>0</v>
      </c>
      <c r="F20" s="110" t="n">
        <f aca="false">E20+F19</f>
        <v>0</v>
      </c>
      <c r="G20" s="110" t="n">
        <f aca="false">F20+G19</f>
        <v>32</v>
      </c>
      <c r="H20" s="110" t="n">
        <f aca="false">G20+H19</f>
        <v>68</v>
      </c>
      <c r="I20" s="110" t="n">
        <f aca="false">H20+I19</f>
        <v>108</v>
      </c>
      <c r="J20" s="110" t="n">
        <f aca="false">I20+J19</f>
        <v>152</v>
      </c>
      <c r="K20" s="110" t="n">
        <f aca="false">J20+K19</f>
        <v>201</v>
      </c>
      <c r="L20" s="110" t="n">
        <f aca="false">K20+L19</f>
        <v>253</v>
      </c>
      <c r="M20" s="110" t="n">
        <f aca="false">L20+M19</f>
        <v>310</v>
      </c>
      <c r="N20" s="110" t="n">
        <f aca="false">M20+N19</f>
        <v>370</v>
      </c>
      <c r="O20" s="110" t="n">
        <f aca="false">N20+O19</f>
        <v>435</v>
      </c>
      <c r="P20" s="110" t="n">
        <f aca="false">O20+P19</f>
        <v>503</v>
      </c>
      <c r="Q20" s="110" t="n">
        <f aca="false">P20+Q19</f>
        <v>576</v>
      </c>
      <c r="R20" s="110" t="n">
        <f aca="false">Q20+R19</f>
        <v>652</v>
      </c>
      <c r="S20" s="110" t="n">
        <f aca="false">R20+S19</f>
        <v>733</v>
      </c>
      <c r="T20" s="110" t="n">
        <f aca="false">S20+T19</f>
        <v>818</v>
      </c>
    </row>
    <row r="21" customFormat="false" ht="15" hidden="false" customHeight="true" outlineLevel="0" collapsed="false">
      <c r="B21" s="72" t="s">
        <v>509</v>
      </c>
      <c r="C21" s="111" t="n">
        <v>0</v>
      </c>
      <c r="D21" s="111" t="n">
        <v>0</v>
      </c>
      <c r="E21" s="111" t="n">
        <v>0</v>
      </c>
      <c r="F21" s="111" t="n">
        <v>0</v>
      </c>
      <c r="G21" s="111" t="n">
        <f aca="false">(G19*Assumptions!$C$4)-((G18*Assumptions!$C$4*Assumptions!$C$10)+(G18*Assumptions!$C$11))</f>
        <v>1506.044</v>
      </c>
      <c r="H21" s="111" t="n">
        <f aca="false">(H19*Assumptions!$C$4)-((H18*Assumptions!$C$4*Assumptions!$C$10)+(H18*Assumptions!$C$11))</f>
        <v>1695.16</v>
      </c>
      <c r="I21" s="111" t="n">
        <f aca="false">(I19*Assumptions!$C$4)-((I18*Assumptions!$C$4*Assumptions!$C$10)+(I18*Assumptions!$C$11))</f>
        <v>1882.555</v>
      </c>
      <c r="J21" s="111" t="n">
        <f aca="false">(J19*Assumptions!$C$4)-((J18*Assumptions!$C$4*Assumptions!$C$10)+(J18*Assumptions!$C$11))</f>
        <v>2071.671</v>
      </c>
      <c r="K21" s="111" t="n">
        <f aca="false">(K19*Assumptions!$C$4)-((K18*Assumptions!$C$4*Assumptions!$C$10)+(K18*Assumptions!$C$11))</f>
        <v>2308.066</v>
      </c>
      <c r="L21" s="111" t="n">
        <f aca="false">(L19*Assumptions!$C$4)-((L18*Assumptions!$C$4*Assumptions!$C$10)+(L18*Assumptions!$C$11))</f>
        <v>2448.182</v>
      </c>
      <c r="M21" s="111" t="n">
        <f aca="false">(M19*Assumptions!$C$4)-((M18*Assumptions!$C$4*Assumptions!$C$10)+(M18*Assumptions!$C$11))</f>
        <v>2684.577</v>
      </c>
      <c r="N21" s="111" t="n">
        <f aca="false">(N19*Assumptions!$C$4)-((N18*Assumptions!$C$4*Assumptions!$C$10)+(N18*Assumptions!$C$11))</f>
        <v>2824.693</v>
      </c>
      <c r="O21" s="111" t="n">
        <f aca="false">(O19*Assumptions!$C$4)-((O18*Assumptions!$C$4*Assumptions!$C$10)+(O18*Assumptions!$C$11))</f>
        <v>3061.088</v>
      </c>
      <c r="P21" s="111" t="n">
        <f aca="false">(P19*Assumptions!$C$4)-((P18*Assumptions!$C$4*Assumptions!$C$10)+(P18*Assumptions!$C$11))</f>
        <v>3201.204</v>
      </c>
      <c r="Q21" s="111" t="n">
        <f aca="false">(Q19*Assumptions!$C$4)-((Q18*Assumptions!$C$4*Assumptions!$C$10)+(Q18*Assumptions!$C$11))</f>
        <v>3437.599</v>
      </c>
      <c r="R21" s="111" t="n">
        <f aca="false">(R19*Assumptions!$C$4)-((R18*Assumptions!$C$4*Assumptions!$C$10)+(R18*Assumptions!$C$11))</f>
        <v>3577.715</v>
      </c>
      <c r="S21" s="111" t="n">
        <f aca="false">(S19*Assumptions!$C$4)-((S18*Assumptions!$C$4*Assumptions!$C$10)+(S18*Assumptions!$C$11))</f>
        <v>3814.11</v>
      </c>
      <c r="T21" s="111" t="n">
        <f aca="false">(T19*Assumptions!$C$4)-((T18*Assumptions!$C$4*Assumptions!$C$10)+(T18*Assumptions!$C$11))</f>
        <v>4003.226</v>
      </c>
    </row>
    <row r="22" customFormat="false" ht="15" hidden="false" customHeight="true" outlineLevel="0" collapsed="false">
      <c r="B22" s="72" t="s">
        <v>457</v>
      </c>
      <c r="C22" s="111" t="n">
        <f aca="false">(COGS!C8+COGS!C9+COGS!C10)+(COGS!$I$4*C19)</f>
        <v>10</v>
      </c>
      <c r="D22" s="111" t="n">
        <f aca="false">(COGS!D8+COGS!D9+COGS!D10)+(COGS!$I$4*D19)</f>
        <v>10</v>
      </c>
      <c r="E22" s="111" t="n">
        <f aca="false">(COGS!E8+COGS!E9+COGS!E10)+(COGS!$I$4*E19)</f>
        <v>10</v>
      </c>
      <c r="F22" s="111" t="n">
        <f aca="false">(COGS!F8+COGS!F9+COGS!F10)+(COGS!$I$4*F19)</f>
        <v>10</v>
      </c>
      <c r="G22" s="111" t="n">
        <f aca="false">(COGS!G8+COGS!G9+COGS!G10)+(COGS!$I$4*G19)</f>
        <v>37.052096</v>
      </c>
      <c r="H22" s="111" t="n">
        <f aca="false">(COGS!H8+COGS!H9+COGS!H10)+(COGS!$I$4*H19)</f>
        <v>37.308608</v>
      </c>
      <c r="I22" s="111" t="n">
        <f aca="false">(COGS!I8+COGS!I9+COGS!I10)+(COGS!$I$4*I19)</f>
        <v>37.56512</v>
      </c>
      <c r="J22" s="111" t="n">
        <f aca="false">(COGS!J8+COGS!J9+COGS!J10)+(COGS!$I$4*J19)</f>
        <v>37.821632</v>
      </c>
      <c r="K22" s="111" t="n">
        <f aca="false">(COGS!K8+COGS!K9+COGS!K10)+(COGS!$I$4*K19)</f>
        <v>38.142272</v>
      </c>
      <c r="L22" s="111" t="n">
        <f aca="false">(COGS!L8+COGS!L9+COGS!L10)+(COGS!$I$4*L19)</f>
        <v>38.334656</v>
      </c>
      <c r="M22" s="111" t="n">
        <f aca="false">(COGS!M8+COGS!M9+COGS!M10)+(COGS!$I$4*M19)</f>
        <v>38.655296</v>
      </c>
      <c r="N22" s="111" t="n">
        <f aca="false">(COGS!N8+COGS!N9+COGS!N10)+(COGS!$I$4*N19)</f>
        <v>38.84768</v>
      </c>
      <c r="O22" s="111" t="n">
        <f aca="false">(COGS!O8+COGS!O9+COGS!O10)+(COGS!$I$4*O19)</f>
        <v>39.16832</v>
      </c>
      <c r="P22" s="111" t="n">
        <f aca="false">(COGS!P8+COGS!P9+COGS!P10)+(COGS!$I$4*P19)</f>
        <v>39.360704</v>
      </c>
      <c r="Q22" s="111" t="n">
        <f aca="false">(COGS!Q8+COGS!Q9+COGS!Q10)+(COGS!$I$4*Q19)</f>
        <v>39.681344</v>
      </c>
      <c r="R22" s="111" t="n">
        <f aca="false">(COGS!R8+COGS!R9+COGS!R10)+(COGS!$I$4*R19)</f>
        <v>39.873728</v>
      </c>
      <c r="S22" s="111" t="n">
        <f aca="false">(COGS!S8+COGS!S9+COGS!S10)+(COGS!$I$4*S19)</f>
        <v>40.194368</v>
      </c>
      <c r="T22" s="111" t="n">
        <f aca="false">(COGS!T8+COGS!T9+COGS!T10)+(COGS!$I$4*T19)</f>
        <v>40.45088</v>
      </c>
    </row>
    <row r="23" customFormat="false" ht="15" hidden="false" customHeight="true" outlineLevel="0" collapsed="false">
      <c r="B23" s="72" t="s">
        <v>510</v>
      </c>
      <c r="C23" s="111" t="n">
        <f aca="false">C21-C22</f>
        <v>-10</v>
      </c>
      <c r="D23" s="111" t="n">
        <f aca="false">D21-D22</f>
        <v>-10</v>
      </c>
      <c r="E23" s="111" t="n">
        <f aca="false">E21-E22</f>
        <v>-10</v>
      </c>
      <c r="F23" s="111" t="n">
        <f aca="false">F21-F22</f>
        <v>-10</v>
      </c>
      <c r="G23" s="111" t="n">
        <f aca="false">G21-G22</f>
        <v>1468.991904</v>
      </c>
      <c r="H23" s="111" t="n">
        <f aca="false">H21-H22</f>
        <v>1657.851392</v>
      </c>
      <c r="I23" s="111" t="n">
        <f aca="false">I21-I22</f>
        <v>1844.98988</v>
      </c>
      <c r="J23" s="111" t="n">
        <f aca="false">J21-J22</f>
        <v>2033.849368</v>
      </c>
      <c r="K23" s="111" t="n">
        <f aca="false">K21-K22</f>
        <v>2269.923728</v>
      </c>
      <c r="L23" s="111" t="n">
        <f aca="false">L21-L22</f>
        <v>2409.847344</v>
      </c>
      <c r="M23" s="111" t="n">
        <f aca="false">M21-M22</f>
        <v>2645.921704</v>
      </c>
      <c r="N23" s="111" t="n">
        <f aca="false">N21-N22</f>
        <v>2785.84532</v>
      </c>
      <c r="O23" s="111" t="n">
        <f aca="false">O21-O22</f>
        <v>3021.91968</v>
      </c>
      <c r="P23" s="111" t="n">
        <f aca="false">P21-P22</f>
        <v>3161.843296</v>
      </c>
      <c r="Q23" s="111" t="n">
        <f aca="false">Q21-Q22</f>
        <v>3397.917656</v>
      </c>
      <c r="R23" s="111" t="n">
        <f aca="false">R21-R22</f>
        <v>3537.841272</v>
      </c>
      <c r="S23" s="111" t="n">
        <f aca="false">S21-S22</f>
        <v>3773.915632</v>
      </c>
      <c r="T23" s="111" t="n">
        <f aca="false">T21-T22</f>
        <v>3962.77512</v>
      </c>
    </row>
    <row r="24" customFormat="false" ht="15" hidden="false" customHeight="true" outlineLevel="0" collapsed="false">
      <c r="B24" s="72" t="s">
        <v>511</v>
      </c>
      <c r="C24" s="111" t="n">
        <f aca="false">OpEx!C25</f>
        <v>2888</v>
      </c>
      <c r="D24" s="111" t="n">
        <f aca="false">OpEx!D25</f>
        <v>1783</v>
      </c>
      <c r="E24" s="111" t="n">
        <f aca="false">OpEx!E25</f>
        <v>1783</v>
      </c>
      <c r="F24" s="111" t="n">
        <f aca="false">OpEx!F25</f>
        <v>1783</v>
      </c>
      <c r="G24" s="111" t="n">
        <f aca="false">OpEx!G25</f>
        <v>1295</v>
      </c>
      <c r="H24" s="111" t="n">
        <f aca="false">OpEx!H25</f>
        <v>1295</v>
      </c>
      <c r="I24" s="111" t="n">
        <f aca="false">OpEx!I25</f>
        <v>1295</v>
      </c>
      <c r="J24" s="111" t="n">
        <f aca="false">OpEx!J25</f>
        <v>1295</v>
      </c>
      <c r="K24" s="111" t="n">
        <f aca="false">OpEx!K25</f>
        <v>1295</v>
      </c>
      <c r="L24" s="111" t="n">
        <f aca="false">OpEx!L25</f>
        <v>1295</v>
      </c>
      <c r="M24" s="111" t="n">
        <f aca="false">OpEx!M25</f>
        <v>1295</v>
      </c>
      <c r="N24" s="111" t="n">
        <f aca="false">OpEx!N25</f>
        <v>1295</v>
      </c>
      <c r="O24" s="111" t="n">
        <f aca="false">OpEx!O25</f>
        <v>1295</v>
      </c>
      <c r="P24" s="111" t="n">
        <f aca="false">OpEx!P25</f>
        <v>1295</v>
      </c>
      <c r="Q24" s="111" t="n">
        <f aca="false">OpEx!Q25</f>
        <v>1295</v>
      </c>
      <c r="R24" s="111" t="n">
        <f aca="false">OpEx!R25</f>
        <v>1295</v>
      </c>
      <c r="S24" s="111" t="n">
        <f aca="false">OpEx!S25</f>
        <v>1295</v>
      </c>
      <c r="T24" s="111" t="n">
        <f aca="false">OpEx!T25</f>
        <v>1295</v>
      </c>
    </row>
    <row r="25" customFormat="false" ht="15" hidden="false" customHeight="true" outlineLevel="0" collapsed="false">
      <c r="B25" s="72" t="s">
        <v>512</v>
      </c>
      <c r="C25" s="111" t="n">
        <f aca="false">C23-C24</f>
        <v>-2898</v>
      </c>
      <c r="D25" s="111" t="n">
        <f aca="false">D23-D24</f>
        <v>-1793</v>
      </c>
      <c r="E25" s="111" t="n">
        <f aca="false">E23-E24</f>
        <v>-1793</v>
      </c>
      <c r="F25" s="111" t="n">
        <f aca="false">F23-F24</f>
        <v>-1793</v>
      </c>
      <c r="G25" s="111" t="n">
        <f aca="false">G23-G24</f>
        <v>173.991904</v>
      </c>
      <c r="H25" s="111" t="n">
        <f aca="false">H23-H24</f>
        <v>362.851392</v>
      </c>
      <c r="I25" s="111" t="n">
        <f aca="false">I23-I24</f>
        <v>549.98988</v>
      </c>
      <c r="J25" s="111" t="n">
        <f aca="false">J23-J24</f>
        <v>738.849368</v>
      </c>
      <c r="K25" s="111" t="n">
        <f aca="false">K23-K24</f>
        <v>974.923728</v>
      </c>
      <c r="L25" s="111" t="n">
        <f aca="false">L23-L24</f>
        <v>1114.847344</v>
      </c>
      <c r="M25" s="111" t="n">
        <f aca="false">M23-M24</f>
        <v>1350.921704</v>
      </c>
      <c r="N25" s="111" t="n">
        <f aca="false">N23-N24</f>
        <v>1490.84532</v>
      </c>
      <c r="O25" s="111" t="n">
        <f aca="false">O23-O24</f>
        <v>1726.91968</v>
      </c>
      <c r="P25" s="111" t="n">
        <f aca="false">P23-P24</f>
        <v>1866.843296</v>
      </c>
      <c r="Q25" s="111" t="n">
        <f aca="false">Q23-Q24</f>
        <v>2102.917656</v>
      </c>
      <c r="R25" s="111" t="n">
        <f aca="false">R23-R24</f>
        <v>2242.841272</v>
      </c>
      <c r="S25" s="111" t="n">
        <f aca="false">S23-S24</f>
        <v>2478.915632</v>
      </c>
      <c r="T25" s="111" t="n">
        <f aca="false">T23-T24</f>
        <v>2667.77512</v>
      </c>
    </row>
    <row r="26" customFormat="false" ht="15" hidden="false" customHeight="true" outlineLevel="0" collapsed="false">
      <c r="B26" s="72" t="s">
        <v>513</v>
      </c>
      <c r="C26" s="111" t="n">
        <f aca="false">C25</f>
        <v>-2898</v>
      </c>
      <c r="D26" s="111" t="n">
        <f aca="false">C26+D25</f>
        <v>-4691</v>
      </c>
      <c r="E26" s="111" t="n">
        <f aca="false">D26+E25</f>
        <v>-6484</v>
      </c>
      <c r="F26" s="111" t="n">
        <f aca="false">E26+F25</f>
        <v>-8277</v>
      </c>
      <c r="G26" s="111" t="n">
        <f aca="false">F26+G25</f>
        <v>-8103.008096</v>
      </c>
      <c r="H26" s="111" t="n">
        <f aca="false">G26+H25</f>
        <v>-7740.156704</v>
      </c>
      <c r="I26" s="111" t="n">
        <f aca="false">H26+I25</f>
        <v>-7190.166824</v>
      </c>
      <c r="J26" s="111" t="n">
        <f aca="false">I26+J25</f>
        <v>-6451.317456</v>
      </c>
      <c r="K26" s="111" t="n">
        <f aca="false">J26+K25</f>
        <v>-5476.393728</v>
      </c>
      <c r="L26" s="111" t="n">
        <f aca="false">K26+L25</f>
        <v>-4361.546384</v>
      </c>
      <c r="M26" s="111" t="n">
        <f aca="false">L26+M25</f>
        <v>-3010.62468</v>
      </c>
      <c r="N26" s="111" t="n">
        <f aca="false">M26+N25</f>
        <v>-1519.77936</v>
      </c>
      <c r="O26" s="111" t="n">
        <f aca="false">N26+O25</f>
        <v>207.140320000001</v>
      </c>
      <c r="P26" s="111" t="n">
        <f aca="false">O26+P25</f>
        <v>2073.983616</v>
      </c>
      <c r="Q26" s="111" t="n">
        <f aca="false">P26+Q25</f>
        <v>4176.901272</v>
      </c>
      <c r="R26" s="111" t="n">
        <f aca="false">Q26+R25</f>
        <v>6419.742544</v>
      </c>
      <c r="S26" s="111" t="n">
        <f aca="false">R26+S25</f>
        <v>8898.658176</v>
      </c>
      <c r="T26" s="111" t="n">
        <f aca="false">S26+T25</f>
        <v>11566.433296</v>
      </c>
    </row>
    <row r="27" customFormat="false" ht="15" hidden="false" customHeight="true" outlineLevel="0" collapsed="false">
      <c r="B27" s="72" t="s">
        <v>514</v>
      </c>
      <c r="C27" s="119" t="str">
        <f aca="false">IF(C26&gt;0,1,"")</f>
        <v/>
      </c>
      <c r="D27" s="119" t="str">
        <f aca="false">IF(D26&gt;0,2,"")</f>
        <v/>
      </c>
      <c r="E27" s="119" t="str">
        <f aca="false">IF(E26&gt;0,3,"")</f>
        <v/>
      </c>
      <c r="F27" s="119" t="str">
        <f aca="false">IF(F26&gt;0,4,"")</f>
        <v/>
      </c>
      <c r="G27" s="119" t="str">
        <f aca="false">IF(G26&gt;0,5,"")</f>
        <v/>
      </c>
      <c r="H27" s="119" t="str">
        <f aca="false">IF(H26&gt;0,6,"")</f>
        <v/>
      </c>
      <c r="I27" s="119" t="str">
        <f aca="false">IF(I26&gt;0,7,"")</f>
        <v/>
      </c>
      <c r="J27" s="119" t="str">
        <f aca="false">IF(J26&gt;0,8,"")</f>
        <v/>
      </c>
      <c r="K27" s="119" t="str">
        <f aca="false">IF(K26&gt;0,9,"")</f>
        <v/>
      </c>
      <c r="L27" s="119" t="str">
        <f aca="false">IF(L26&gt;0,10,"")</f>
        <v/>
      </c>
      <c r="M27" s="119" t="str">
        <f aca="false">IF(M26&gt;0,11,"")</f>
        <v/>
      </c>
      <c r="N27" s="119" t="str">
        <f aca="false">IF(N26&gt;0,12,"")</f>
        <v/>
      </c>
      <c r="O27" s="119" t="n">
        <f aca="false">IF(O26&gt;0,13,"")</f>
        <v>13</v>
      </c>
      <c r="P27" s="119" t="n">
        <f aca="false">IF(P26&gt;0,14,"")</f>
        <v>14</v>
      </c>
      <c r="Q27" s="119" t="n">
        <f aca="false">IF(Q26&gt;0,15,"")</f>
        <v>15</v>
      </c>
      <c r="R27" s="119" t="n">
        <f aca="false">IF(R26&gt;0,16,"")</f>
        <v>16</v>
      </c>
      <c r="S27" s="119" t="n">
        <f aca="false">IF(S26&gt;0,17,"")</f>
        <v>17</v>
      </c>
      <c r="T27" s="119" t="n">
        <f aca="false">IF(T26&gt;0,18,"")</f>
        <v>18</v>
      </c>
    </row>
    <row r="31" customFormat="false" ht="15" hidden="false" customHeight="true" outlineLevel="0" collapsed="false">
      <c r="B31" s="117" t="s">
        <v>515</v>
      </c>
    </row>
    <row r="32" customFormat="false" ht="15" hidden="false" customHeight="true" outlineLevel="0" collapsed="false">
      <c r="B32" s="72" t="s">
        <v>504</v>
      </c>
      <c r="C32" s="118" t="n">
        <v>5</v>
      </c>
    </row>
    <row r="34" customFormat="false" ht="15" hidden="false" customHeight="true" outlineLevel="0" collapsed="false">
      <c r="B34" s="72" t="s">
        <v>505</v>
      </c>
      <c r="C34" s="110" t="n">
        <v>0</v>
      </c>
      <c r="D34" s="110" t="n">
        <v>0</v>
      </c>
      <c r="E34" s="110" t="n">
        <v>0</v>
      </c>
      <c r="F34" s="110" t="n">
        <v>0</v>
      </c>
      <c r="G34" s="110" t="n">
        <f aca="false">Assumptions!$C$78</f>
        <v>7</v>
      </c>
      <c r="H34" s="110" t="n">
        <f aca="false">G34+$C$32</f>
        <v>12</v>
      </c>
      <c r="I34" s="110" t="n">
        <f aca="false">H34+$C$32</f>
        <v>17</v>
      </c>
      <c r="J34" s="110" t="n">
        <f aca="false">I34+$C$32</f>
        <v>22</v>
      </c>
      <c r="K34" s="110" t="n">
        <f aca="false">J34+$C$32</f>
        <v>27</v>
      </c>
      <c r="L34" s="110" t="n">
        <f aca="false">K34+$C$32</f>
        <v>32</v>
      </c>
      <c r="M34" s="110" t="n">
        <f aca="false">L34+$C$32</f>
        <v>37</v>
      </c>
      <c r="N34" s="110" t="n">
        <f aca="false">M34+$C$32</f>
        <v>42</v>
      </c>
      <c r="O34" s="110" t="n">
        <f aca="false">N34+$C$32</f>
        <v>47</v>
      </c>
      <c r="P34" s="110" t="n">
        <f aca="false">O34+$C$32</f>
        <v>52</v>
      </c>
      <c r="Q34" s="110" t="n">
        <f aca="false">P34+$C$32</f>
        <v>57</v>
      </c>
      <c r="R34" s="110" t="n">
        <f aca="false">Q34+$C$32</f>
        <v>62</v>
      </c>
      <c r="S34" s="110" t="n">
        <f aca="false">R34+$C$32</f>
        <v>67</v>
      </c>
      <c r="T34" s="110" t="n">
        <f aca="false">S34+$C$32</f>
        <v>72</v>
      </c>
    </row>
    <row r="35" customFormat="false" ht="15" hidden="false" customHeight="true" outlineLevel="0" collapsed="false">
      <c r="B35" s="72" t="s">
        <v>506</v>
      </c>
      <c r="C35" s="110" t="n">
        <v>0</v>
      </c>
      <c r="D35" s="110" t="n">
        <v>0</v>
      </c>
      <c r="E35" s="110" t="n">
        <v>0</v>
      </c>
      <c r="F35" s="110" t="n">
        <v>0</v>
      </c>
      <c r="G35" s="110" t="n">
        <f aca="false">ROUND(G34*Assumptions!$C$80*Assumptions!$C$81,0)+ROUND(Assumptions!$C$70/Assumptions!$C$14,0)</f>
        <v>36</v>
      </c>
      <c r="H35" s="110" t="n">
        <f aca="false">ROUND(H34*Assumptions!$C$80*Assumptions!$C$81,0)+ROUND(Assumptions!$C$70/Assumptions!$C$14,0)</f>
        <v>43</v>
      </c>
      <c r="I35" s="110" t="n">
        <f aca="false">ROUND(I34*Assumptions!$C$80*Assumptions!$C$81,0)+ROUND(Assumptions!$C$70/Assumptions!$C$14,0)</f>
        <v>51</v>
      </c>
      <c r="J35" s="110" t="n">
        <f aca="false">ROUND(J34*Assumptions!$C$80*Assumptions!$C$81,0)+ROUND(Assumptions!$C$70/Assumptions!$C$14,0)</f>
        <v>58</v>
      </c>
      <c r="K35" s="110" t="n">
        <f aca="false">ROUND(K34*Assumptions!$C$80*Assumptions!$C$81,0)+ROUND(Assumptions!$C$70/Assumptions!$C$14,0)</f>
        <v>66</v>
      </c>
      <c r="L35" s="110" t="n">
        <f aca="false">ROUND(L34*Assumptions!$C$80*Assumptions!$C$81,0)+ROUND(Assumptions!$C$70/Assumptions!$C$14,0)</f>
        <v>73</v>
      </c>
      <c r="M35" s="110" t="n">
        <f aca="false">ROUND(M34*Assumptions!$C$80*Assumptions!$C$81,0)+ROUND(Assumptions!$C$70/Assumptions!$C$14,0)</f>
        <v>81</v>
      </c>
      <c r="N35" s="110" t="n">
        <f aca="false">ROUND(N34*Assumptions!$C$80*Assumptions!$C$81,0)+ROUND(Assumptions!$C$70/Assumptions!$C$14,0)</f>
        <v>88</v>
      </c>
      <c r="O35" s="110" t="n">
        <f aca="false">ROUND(O34*Assumptions!$C$80*Assumptions!$C$81,0)+ROUND(Assumptions!$C$70/Assumptions!$C$14,0)</f>
        <v>96</v>
      </c>
      <c r="P35" s="110" t="n">
        <f aca="false">ROUND(P34*Assumptions!$C$80*Assumptions!$C$81,0)+ROUND(Assumptions!$C$70/Assumptions!$C$14,0)</f>
        <v>103</v>
      </c>
      <c r="Q35" s="110" t="n">
        <f aca="false">ROUND(Q34*Assumptions!$C$80*Assumptions!$C$81,0)+ROUND(Assumptions!$C$70/Assumptions!$C$14,0)</f>
        <v>111</v>
      </c>
      <c r="R35" s="110" t="n">
        <f aca="false">ROUND(R34*Assumptions!$C$80*Assumptions!$C$81,0)+ROUND(Assumptions!$C$70/Assumptions!$C$14,0)</f>
        <v>118</v>
      </c>
      <c r="S35" s="110" t="n">
        <f aca="false">ROUND(S34*Assumptions!$C$80*Assumptions!$C$81,0)+ROUND(Assumptions!$C$70/Assumptions!$C$14,0)</f>
        <v>126</v>
      </c>
      <c r="T35" s="110" t="n">
        <f aca="false">ROUND(T34*Assumptions!$C$80*Assumptions!$C$81,0)+ROUND(Assumptions!$C$70/Assumptions!$C$14,0)</f>
        <v>133</v>
      </c>
    </row>
    <row r="36" customFormat="false" ht="15" hidden="false" customHeight="true" outlineLevel="0" collapsed="false">
      <c r="B36" s="72" t="s">
        <v>507</v>
      </c>
      <c r="C36" s="110" t="n">
        <v>0</v>
      </c>
      <c r="D36" s="110" t="n">
        <v>0</v>
      </c>
      <c r="E36" s="110" t="n">
        <v>0</v>
      </c>
      <c r="F36" s="110" t="n">
        <v>0</v>
      </c>
      <c r="G36" s="110" t="n">
        <f aca="false">G35-ROUND(G35*Assumptions!$C$6,0)</f>
        <v>32</v>
      </c>
      <c r="H36" s="110" t="n">
        <f aca="false">H35-ROUND(H35*Assumptions!$C$6,0)</f>
        <v>39</v>
      </c>
      <c r="I36" s="110" t="n">
        <f aca="false">I35-ROUND(I35*Assumptions!$C$6,0)</f>
        <v>46</v>
      </c>
      <c r="J36" s="110" t="n">
        <f aca="false">J35-ROUND(J35*Assumptions!$C$6,0)</f>
        <v>52</v>
      </c>
      <c r="K36" s="110" t="n">
        <f aca="false">K35-ROUND(K35*Assumptions!$C$6,0)</f>
        <v>59</v>
      </c>
      <c r="L36" s="110" t="n">
        <f aca="false">L35-ROUND(L35*Assumptions!$C$6,0)</f>
        <v>66</v>
      </c>
      <c r="M36" s="110" t="n">
        <f aca="false">M35-ROUND(M35*Assumptions!$C$6,0)</f>
        <v>73</v>
      </c>
      <c r="N36" s="110" t="n">
        <f aca="false">N35-ROUND(N35*Assumptions!$C$6,0)</f>
        <v>79</v>
      </c>
      <c r="O36" s="110" t="n">
        <f aca="false">O35-ROUND(O35*Assumptions!$C$6,0)</f>
        <v>86</v>
      </c>
      <c r="P36" s="110" t="n">
        <f aca="false">P35-ROUND(P35*Assumptions!$C$6,0)</f>
        <v>93</v>
      </c>
      <c r="Q36" s="110" t="n">
        <f aca="false">Q35-ROUND(Q35*Assumptions!$C$6,0)</f>
        <v>100</v>
      </c>
      <c r="R36" s="110" t="n">
        <f aca="false">R35-ROUND(R35*Assumptions!$C$6,0)</f>
        <v>106</v>
      </c>
      <c r="S36" s="110" t="n">
        <f aca="false">S35-ROUND(S35*Assumptions!$C$6,0)</f>
        <v>113</v>
      </c>
      <c r="T36" s="110" t="n">
        <f aca="false">T35-ROUND(T35*Assumptions!$C$6,0)</f>
        <v>120</v>
      </c>
    </row>
    <row r="37" customFormat="false" ht="15" hidden="false" customHeight="true" outlineLevel="0" collapsed="false">
      <c r="B37" s="72" t="s">
        <v>508</v>
      </c>
      <c r="C37" s="110" t="n">
        <f aca="false">C36</f>
        <v>0</v>
      </c>
      <c r="D37" s="110" t="n">
        <f aca="false">C37+D36</f>
        <v>0</v>
      </c>
      <c r="E37" s="110" t="n">
        <f aca="false">D37+E36</f>
        <v>0</v>
      </c>
      <c r="F37" s="110" t="n">
        <f aca="false">E37+F36</f>
        <v>0</v>
      </c>
      <c r="G37" s="110" t="n">
        <f aca="false">F37+G36</f>
        <v>32</v>
      </c>
      <c r="H37" s="110" t="n">
        <f aca="false">G37+H36</f>
        <v>71</v>
      </c>
      <c r="I37" s="110" t="n">
        <f aca="false">H37+I36</f>
        <v>117</v>
      </c>
      <c r="J37" s="110" t="n">
        <f aca="false">I37+J36</f>
        <v>169</v>
      </c>
      <c r="K37" s="110" t="n">
        <f aca="false">J37+K36</f>
        <v>228</v>
      </c>
      <c r="L37" s="110" t="n">
        <f aca="false">K37+L36</f>
        <v>294</v>
      </c>
      <c r="M37" s="110" t="n">
        <f aca="false">L37+M36</f>
        <v>367</v>
      </c>
      <c r="N37" s="110" t="n">
        <f aca="false">M37+N36</f>
        <v>446</v>
      </c>
      <c r="O37" s="110" t="n">
        <f aca="false">N37+O36</f>
        <v>532</v>
      </c>
      <c r="P37" s="110" t="n">
        <f aca="false">O37+P36</f>
        <v>625</v>
      </c>
      <c r="Q37" s="110" t="n">
        <f aca="false">P37+Q36</f>
        <v>725</v>
      </c>
      <c r="R37" s="110" t="n">
        <f aca="false">Q37+R36</f>
        <v>831</v>
      </c>
      <c r="S37" s="110" t="n">
        <f aca="false">R37+S36</f>
        <v>944</v>
      </c>
      <c r="T37" s="110" t="n">
        <f aca="false">S37+T36</f>
        <v>1064</v>
      </c>
    </row>
    <row r="38" customFormat="false" ht="15" hidden="false" customHeight="true" outlineLevel="0" collapsed="false">
      <c r="B38" s="72" t="s">
        <v>509</v>
      </c>
      <c r="C38" s="111" t="n">
        <v>0</v>
      </c>
      <c r="D38" s="111" t="n">
        <v>0</v>
      </c>
      <c r="E38" s="111" t="n">
        <v>0</v>
      </c>
      <c r="F38" s="111" t="n">
        <v>0</v>
      </c>
      <c r="G38" s="111" t="n">
        <f aca="false">(G36*Assumptions!$C$4)-((G35*Assumptions!$C$4*Assumptions!$C$10)+(G35*Assumptions!$C$11))</f>
        <v>1506.044</v>
      </c>
      <c r="H38" s="111" t="n">
        <f aca="false">(H36*Assumptions!$C$4)-((H35*Assumptions!$C$4*Assumptions!$C$10)+(H35*Assumptions!$C$11))</f>
        <v>1836.997</v>
      </c>
      <c r="I38" s="111" t="n">
        <f aca="false">(I36*Assumptions!$C$4)-((I35*Assumptions!$C$4*Assumptions!$C$10)+(I35*Assumptions!$C$11))</f>
        <v>2166.229</v>
      </c>
      <c r="J38" s="111" t="n">
        <f aca="false">(J36*Assumptions!$C$4)-((J35*Assumptions!$C$4*Assumptions!$C$10)+(J35*Assumptions!$C$11))</f>
        <v>2448.182</v>
      </c>
      <c r="K38" s="111" t="n">
        <f aca="false">(K36*Assumptions!$C$4)-((K35*Assumptions!$C$4*Assumptions!$C$10)+(K35*Assumptions!$C$11))</f>
        <v>2777.414</v>
      </c>
      <c r="L38" s="111" t="n">
        <f aca="false">(L36*Assumptions!$C$4)-((L35*Assumptions!$C$4*Assumptions!$C$10)+(L35*Assumptions!$C$11))</f>
        <v>3108.367</v>
      </c>
      <c r="M38" s="111" t="n">
        <f aca="false">(M36*Assumptions!$C$4)-((M35*Assumptions!$C$4*Assumptions!$C$10)+(M35*Assumptions!$C$11))</f>
        <v>3437.599</v>
      </c>
      <c r="N38" s="111" t="n">
        <f aca="false">(N36*Assumptions!$C$4)-((N35*Assumptions!$C$4*Assumptions!$C$10)+(N35*Assumptions!$C$11))</f>
        <v>3719.552</v>
      </c>
      <c r="O38" s="111" t="n">
        <f aca="false">(O36*Assumptions!$C$4)-((O35*Assumptions!$C$4*Assumptions!$C$10)+(O35*Assumptions!$C$11))</f>
        <v>4048.784</v>
      </c>
      <c r="P38" s="111" t="n">
        <f aca="false">(P36*Assumptions!$C$4)-((P35*Assumptions!$C$4*Assumptions!$C$10)+(P35*Assumptions!$C$11))</f>
        <v>4379.737</v>
      </c>
      <c r="Q38" s="111" t="n">
        <f aca="false">(Q36*Assumptions!$C$4)-((Q35*Assumptions!$C$4*Assumptions!$C$10)+(Q35*Assumptions!$C$11))</f>
        <v>4708.969</v>
      </c>
      <c r="R38" s="111" t="n">
        <f aca="false">(R36*Assumptions!$C$4)-((R35*Assumptions!$C$4*Assumptions!$C$10)+(R35*Assumptions!$C$11))</f>
        <v>4990.922</v>
      </c>
      <c r="S38" s="111" t="n">
        <f aca="false">(S36*Assumptions!$C$4)-((S35*Assumptions!$C$4*Assumptions!$C$10)+(S35*Assumptions!$C$11))</f>
        <v>5320.154</v>
      </c>
      <c r="T38" s="111" t="n">
        <f aca="false">(T36*Assumptions!$C$4)-((T35*Assumptions!$C$4*Assumptions!$C$10)+(T35*Assumptions!$C$11))</f>
        <v>5651.107</v>
      </c>
    </row>
    <row r="39" customFormat="false" ht="15" hidden="false" customHeight="true" outlineLevel="0" collapsed="false">
      <c r="B39" s="72" t="s">
        <v>457</v>
      </c>
      <c r="C39" s="111" t="n">
        <f aca="false">(COGS!C8+COGS!C9+COGS!C10)+(COGS!$I$4*C36)</f>
        <v>10</v>
      </c>
      <c r="D39" s="111" t="n">
        <f aca="false">(COGS!D8+COGS!D9+COGS!D10)+(COGS!$I$4*D36)</f>
        <v>10</v>
      </c>
      <c r="E39" s="111" t="n">
        <f aca="false">(COGS!E8+COGS!E9+COGS!E10)+(COGS!$I$4*E36)</f>
        <v>10</v>
      </c>
      <c r="F39" s="111" t="n">
        <f aca="false">(COGS!F8+COGS!F9+COGS!F10)+(COGS!$I$4*F36)</f>
        <v>10</v>
      </c>
      <c r="G39" s="111" t="n">
        <f aca="false">(COGS!G8+COGS!G9+COGS!G10)+(COGS!$I$4*G36)</f>
        <v>37.052096</v>
      </c>
      <c r="H39" s="111" t="n">
        <f aca="false">(COGS!H8+COGS!H9+COGS!H10)+(COGS!$I$4*H36)</f>
        <v>37.500992</v>
      </c>
      <c r="I39" s="111" t="n">
        <f aca="false">(COGS!I8+COGS!I9+COGS!I10)+(COGS!$I$4*I36)</f>
        <v>37.949888</v>
      </c>
      <c r="J39" s="111" t="n">
        <f aca="false">(COGS!J8+COGS!J9+COGS!J10)+(COGS!$I$4*J36)</f>
        <v>38.334656</v>
      </c>
      <c r="K39" s="111" t="n">
        <f aca="false">(COGS!K8+COGS!K9+COGS!K10)+(COGS!$I$4*K36)</f>
        <v>38.783552</v>
      </c>
      <c r="L39" s="111" t="n">
        <f aca="false">(COGS!L8+COGS!L9+COGS!L10)+(COGS!$I$4*L36)</f>
        <v>39.232448</v>
      </c>
      <c r="M39" s="111" t="n">
        <f aca="false">(COGS!M8+COGS!M9+COGS!M10)+(COGS!$I$4*M36)</f>
        <v>39.681344</v>
      </c>
      <c r="N39" s="111" t="n">
        <f aca="false">(COGS!N8+COGS!N9+COGS!N10)+(COGS!$I$4*N36)</f>
        <v>40.066112</v>
      </c>
      <c r="O39" s="111" t="n">
        <f aca="false">(COGS!O8+COGS!O9+COGS!O10)+(COGS!$I$4*O36)</f>
        <v>40.515008</v>
      </c>
      <c r="P39" s="111" t="n">
        <f aca="false">(COGS!P8+COGS!P9+COGS!P10)+(COGS!$I$4*P36)</f>
        <v>40.963904</v>
      </c>
      <c r="Q39" s="111" t="n">
        <f aca="false">(COGS!Q8+COGS!Q9+COGS!Q10)+(COGS!$I$4*Q36)</f>
        <v>41.4128</v>
      </c>
      <c r="R39" s="111" t="n">
        <f aca="false">(COGS!R8+COGS!R9+COGS!R10)+(COGS!$I$4*R36)</f>
        <v>41.797568</v>
      </c>
      <c r="S39" s="111" t="n">
        <f aca="false">(COGS!S8+COGS!S9+COGS!S10)+(COGS!$I$4*S36)</f>
        <v>42.246464</v>
      </c>
      <c r="T39" s="111" t="n">
        <f aca="false">(COGS!T8+COGS!T9+COGS!T10)+(COGS!$I$4*T36)</f>
        <v>42.69536</v>
      </c>
    </row>
    <row r="40" customFormat="false" ht="15" hidden="false" customHeight="true" outlineLevel="0" collapsed="false">
      <c r="B40" s="72" t="s">
        <v>510</v>
      </c>
      <c r="C40" s="111" t="n">
        <f aca="false">C38-C39</f>
        <v>-10</v>
      </c>
      <c r="D40" s="111" t="n">
        <f aca="false">D38-D39</f>
        <v>-10</v>
      </c>
      <c r="E40" s="111" t="n">
        <f aca="false">E38-E39</f>
        <v>-10</v>
      </c>
      <c r="F40" s="111" t="n">
        <f aca="false">F38-F39</f>
        <v>-10</v>
      </c>
      <c r="G40" s="111" t="n">
        <f aca="false">G38-G39</f>
        <v>1468.991904</v>
      </c>
      <c r="H40" s="111" t="n">
        <f aca="false">H38-H39</f>
        <v>1799.496008</v>
      </c>
      <c r="I40" s="111" t="n">
        <f aca="false">I38-I39</f>
        <v>2128.279112</v>
      </c>
      <c r="J40" s="111" t="n">
        <f aca="false">J38-J39</f>
        <v>2409.847344</v>
      </c>
      <c r="K40" s="111" t="n">
        <f aca="false">K38-K39</f>
        <v>2738.630448</v>
      </c>
      <c r="L40" s="111" t="n">
        <f aca="false">L38-L39</f>
        <v>3069.134552</v>
      </c>
      <c r="M40" s="111" t="n">
        <f aca="false">M38-M39</f>
        <v>3397.917656</v>
      </c>
      <c r="N40" s="111" t="n">
        <f aca="false">N38-N39</f>
        <v>3679.485888</v>
      </c>
      <c r="O40" s="111" t="n">
        <f aca="false">O38-O39</f>
        <v>4008.268992</v>
      </c>
      <c r="P40" s="111" t="n">
        <f aca="false">P38-P39</f>
        <v>4338.773096</v>
      </c>
      <c r="Q40" s="111" t="n">
        <f aca="false">Q38-Q39</f>
        <v>4667.5562</v>
      </c>
      <c r="R40" s="111" t="n">
        <f aca="false">R38-R39</f>
        <v>4949.124432</v>
      </c>
      <c r="S40" s="111" t="n">
        <f aca="false">S38-S39</f>
        <v>5277.907536</v>
      </c>
      <c r="T40" s="111" t="n">
        <f aca="false">T38-T39</f>
        <v>5608.41164</v>
      </c>
    </row>
    <row r="41" customFormat="false" ht="15" hidden="false" customHeight="true" outlineLevel="0" collapsed="false">
      <c r="B41" s="72" t="s">
        <v>511</v>
      </c>
      <c r="C41" s="111" t="n">
        <f aca="false">OpEx!C25</f>
        <v>2888</v>
      </c>
      <c r="D41" s="111" t="n">
        <f aca="false">OpEx!D25</f>
        <v>1783</v>
      </c>
      <c r="E41" s="111" t="n">
        <f aca="false">OpEx!E25</f>
        <v>1783</v>
      </c>
      <c r="F41" s="111" t="n">
        <f aca="false">OpEx!F25</f>
        <v>1783</v>
      </c>
      <c r="G41" s="111" t="n">
        <f aca="false">OpEx!G25</f>
        <v>1295</v>
      </c>
      <c r="H41" s="111" t="n">
        <f aca="false">OpEx!H25</f>
        <v>1295</v>
      </c>
      <c r="I41" s="111" t="n">
        <f aca="false">OpEx!I25</f>
        <v>1295</v>
      </c>
      <c r="J41" s="111" t="n">
        <f aca="false">OpEx!J25</f>
        <v>1295</v>
      </c>
      <c r="K41" s="111" t="n">
        <f aca="false">OpEx!K25</f>
        <v>1295</v>
      </c>
      <c r="L41" s="111" t="n">
        <f aca="false">OpEx!L25</f>
        <v>1295</v>
      </c>
      <c r="M41" s="111" t="n">
        <f aca="false">OpEx!M25</f>
        <v>1295</v>
      </c>
      <c r="N41" s="111" t="n">
        <f aca="false">OpEx!N25</f>
        <v>1295</v>
      </c>
      <c r="O41" s="111" t="n">
        <f aca="false">OpEx!O25</f>
        <v>1295</v>
      </c>
      <c r="P41" s="111" t="n">
        <f aca="false">OpEx!P25</f>
        <v>1295</v>
      </c>
      <c r="Q41" s="111" t="n">
        <f aca="false">OpEx!Q25</f>
        <v>1295</v>
      </c>
      <c r="R41" s="111" t="n">
        <f aca="false">OpEx!R25</f>
        <v>1295</v>
      </c>
      <c r="S41" s="111" t="n">
        <f aca="false">OpEx!S25</f>
        <v>1295</v>
      </c>
      <c r="T41" s="111" t="n">
        <f aca="false">OpEx!T25</f>
        <v>1295</v>
      </c>
    </row>
    <row r="42" customFormat="false" ht="15" hidden="false" customHeight="true" outlineLevel="0" collapsed="false">
      <c r="B42" s="72" t="s">
        <v>512</v>
      </c>
      <c r="C42" s="111" t="n">
        <f aca="false">C40-C41</f>
        <v>-2898</v>
      </c>
      <c r="D42" s="111" t="n">
        <f aca="false">D40-D41</f>
        <v>-1793</v>
      </c>
      <c r="E42" s="111" t="n">
        <f aca="false">E40-E41</f>
        <v>-1793</v>
      </c>
      <c r="F42" s="111" t="n">
        <f aca="false">F40-F41</f>
        <v>-1793</v>
      </c>
      <c r="G42" s="111" t="n">
        <f aca="false">G40-G41</f>
        <v>173.991904</v>
      </c>
      <c r="H42" s="111" t="n">
        <f aca="false">H40-H41</f>
        <v>504.496008</v>
      </c>
      <c r="I42" s="111" t="n">
        <f aca="false">I40-I41</f>
        <v>833.279112</v>
      </c>
      <c r="J42" s="111" t="n">
        <f aca="false">J40-J41</f>
        <v>1114.847344</v>
      </c>
      <c r="K42" s="111" t="n">
        <f aca="false">K40-K41</f>
        <v>1443.630448</v>
      </c>
      <c r="L42" s="111" t="n">
        <f aca="false">L40-L41</f>
        <v>1774.134552</v>
      </c>
      <c r="M42" s="111" t="n">
        <f aca="false">M40-M41</f>
        <v>2102.917656</v>
      </c>
      <c r="N42" s="111" t="n">
        <f aca="false">N40-N41</f>
        <v>2384.485888</v>
      </c>
      <c r="O42" s="111" t="n">
        <f aca="false">O40-O41</f>
        <v>2713.268992</v>
      </c>
      <c r="P42" s="111" t="n">
        <f aca="false">P40-P41</f>
        <v>3043.773096</v>
      </c>
      <c r="Q42" s="111" t="n">
        <f aca="false">Q40-Q41</f>
        <v>3372.5562</v>
      </c>
      <c r="R42" s="111" t="n">
        <f aca="false">R40-R41</f>
        <v>3654.124432</v>
      </c>
      <c r="S42" s="111" t="n">
        <f aca="false">S40-S41</f>
        <v>3982.907536</v>
      </c>
      <c r="T42" s="111" t="n">
        <f aca="false">T40-T41</f>
        <v>4313.41164</v>
      </c>
    </row>
    <row r="43" customFormat="false" ht="15" hidden="false" customHeight="true" outlineLevel="0" collapsed="false">
      <c r="B43" s="72" t="s">
        <v>513</v>
      </c>
      <c r="C43" s="111" t="n">
        <f aca="false">C42</f>
        <v>-2898</v>
      </c>
      <c r="D43" s="111" t="n">
        <f aca="false">C43+D42</f>
        <v>-4691</v>
      </c>
      <c r="E43" s="111" t="n">
        <f aca="false">D43+E42</f>
        <v>-6484</v>
      </c>
      <c r="F43" s="111" t="n">
        <f aca="false">E43+F42</f>
        <v>-8277</v>
      </c>
      <c r="G43" s="111" t="n">
        <f aca="false">F43+G42</f>
        <v>-8103.008096</v>
      </c>
      <c r="H43" s="111" t="n">
        <f aca="false">G43+H42</f>
        <v>-7598.512088</v>
      </c>
      <c r="I43" s="111" t="n">
        <f aca="false">H43+I42</f>
        <v>-6765.232976</v>
      </c>
      <c r="J43" s="111" t="n">
        <f aca="false">I43+J42</f>
        <v>-5650.385632</v>
      </c>
      <c r="K43" s="111" t="n">
        <f aca="false">J43+K42</f>
        <v>-4206.755184</v>
      </c>
      <c r="L43" s="111" t="n">
        <f aca="false">K43+L42</f>
        <v>-2432.620632</v>
      </c>
      <c r="M43" s="111" t="n">
        <f aca="false">L43+M42</f>
        <v>-329.702976</v>
      </c>
      <c r="N43" s="111" t="n">
        <f aca="false">M43+N42</f>
        <v>2054.782912</v>
      </c>
      <c r="O43" s="111" t="n">
        <f aca="false">N43+O42</f>
        <v>4768.051904</v>
      </c>
      <c r="P43" s="111" t="n">
        <f aca="false">O43+P42</f>
        <v>7811.825</v>
      </c>
      <c r="Q43" s="111" t="n">
        <f aca="false">P43+Q42</f>
        <v>11184.3812</v>
      </c>
      <c r="R43" s="111" t="n">
        <f aca="false">Q43+R42</f>
        <v>14838.505632</v>
      </c>
      <c r="S43" s="111" t="n">
        <f aca="false">R43+S42</f>
        <v>18821.413168</v>
      </c>
      <c r="T43" s="111" t="n">
        <f aca="false">S43+T42</f>
        <v>23134.824808</v>
      </c>
    </row>
    <row r="44" customFormat="false" ht="15" hidden="false" customHeight="true" outlineLevel="0" collapsed="false">
      <c r="B44" s="72" t="s">
        <v>514</v>
      </c>
      <c r="C44" s="119" t="str">
        <f aca="false">IF(C43&gt;0,1,"")</f>
        <v/>
      </c>
      <c r="D44" s="119" t="str">
        <f aca="false">IF(D43&gt;0,2,"")</f>
        <v/>
      </c>
      <c r="E44" s="119" t="str">
        <f aca="false">IF(E43&gt;0,3,"")</f>
        <v/>
      </c>
      <c r="F44" s="119" t="str">
        <f aca="false">IF(F43&gt;0,4,"")</f>
        <v/>
      </c>
      <c r="G44" s="119" t="str">
        <f aca="false">IF(G43&gt;0,5,"")</f>
        <v/>
      </c>
      <c r="H44" s="119" t="str">
        <f aca="false">IF(H43&gt;0,6,"")</f>
        <v/>
      </c>
      <c r="I44" s="119" t="str">
        <f aca="false">IF(I43&gt;0,7,"")</f>
        <v/>
      </c>
      <c r="J44" s="119" t="str">
        <f aca="false">IF(J43&gt;0,8,"")</f>
        <v/>
      </c>
      <c r="K44" s="119" t="str">
        <f aca="false">IF(K43&gt;0,9,"")</f>
        <v/>
      </c>
      <c r="L44" s="119" t="str">
        <f aca="false">IF(L43&gt;0,10,"")</f>
        <v/>
      </c>
      <c r="M44" s="119" t="str">
        <f aca="false">IF(M43&gt;0,11,"")</f>
        <v/>
      </c>
      <c r="N44" s="119" t="n">
        <f aca="false">IF(N43&gt;0,12,"")</f>
        <v>12</v>
      </c>
      <c r="O44" s="119" t="n">
        <f aca="false">IF(O43&gt;0,13,"")</f>
        <v>13</v>
      </c>
      <c r="P44" s="119" t="n">
        <f aca="false">IF(P43&gt;0,14,"")</f>
        <v>14</v>
      </c>
      <c r="Q44" s="119" t="n">
        <f aca="false">IF(Q43&gt;0,15,"")</f>
        <v>15</v>
      </c>
      <c r="R44" s="119" t="n">
        <f aca="false">IF(R43&gt;0,16,"")</f>
        <v>16</v>
      </c>
      <c r="S44" s="119" t="n">
        <f aca="false">IF(S43&gt;0,17,"")</f>
        <v>17</v>
      </c>
      <c r="T44" s="119" t="n">
        <f aca="false">IF(T43&gt;0,18,"")</f>
        <v>18</v>
      </c>
    </row>
    <row r="48" customFormat="false" ht="15" hidden="false" customHeight="true" outlineLevel="0" collapsed="false">
      <c r="B48" s="117" t="s">
        <v>516</v>
      </c>
    </row>
    <row r="49" customFormat="false" ht="15" hidden="false" customHeight="true" outlineLevel="0" collapsed="false">
      <c r="B49" s="72" t="s">
        <v>504</v>
      </c>
      <c r="C49" s="118" t="n">
        <v>8</v>
      </c>
    </row>
    <row r="51" customFormat="false" ht="15" hidden="false" customHeight="true" outlineLevel="0" collapsed="false">
      <c r="B51" s="72" t="s">
        <v>505</v>
      </c>
      <c r="C51" s="110" t="n">
        <v>0</v>
      </c>
      <c r="D51" s="110" t="n">
        <v>0</v>
      </c>
      <c r="E51" s="110" t="n">
        <v>0</v>
      </c>
      <c r="F51" s="110" t="n">
        <v>0</v>
      </c>
      <c r="G51" s="110" t="n">
        <f aca="false">Assumptions!$C$78</f>
        <v>7</v>
      </c>
      <c r="H51" s="110" t="n">
        <f aca="false">G51+$C$49</f>
        <v>15</v>
      </c>
      <c r="I51" s="110" t="n">
        <f aca="false">H51+$C$49</f>
        <v>23</v>
      </c>
      <c r="J51" s="110" t="n">
        <f aca="false">I51+$C$49</f>
        <v>31</v>
      </c>
      <c r="K51" s="110" t="n">
        <f aca="false">J51+$C$49</f>
        <v>39</v>
      </c>
      <c r="L51" s="110" t="n">
        <f aca="false">K51+$C$49</f>
        <v>47</v>
      </c>
      <c r="M51" s="110" t="n">
        <f aca="false">L51+$C$49</f>
        <v>55</v>
      </c>
      <c r="N51" s="110" t="n">
        <f aca="false">M51+$C$49</f>
        <v>63</v>
      </c>
      <c r="O51" s="110" t="n">
        <f aca="false">N51+$C$49</f>
        <v>71</v>
      </c>
      <c r="P51" s="110" t="n">
        <f aca="false">O51+$C$49</f>
        <v>79</v>
      </c>
      <c r="Q51" s="110" t="n">
        <f aca="false">P51+$C$49</f>
        <v>87</v>
      </c>
      <c r="R51" s="110" t="n">
        <f aca="false">Q51+$C$49</f>
        <v>95</v>
      </c>
      <c r="S51" s="110" t="n">
        <f aca="false">R51+$C$49</f>
        <v>103</v>
      </c>
      <c r="T51" s="110" t="n">
        <f aca="false">S51+$C$49</f>
        <v>111</v>
      </c>
    </row>
    <row r="52" customFormat="false" ht="15" hidden="false" customHeight="true" outlineLevel="0" collapsed="false">
      <c r="B52" s="72" t="s">
        <v>506</v>
      </c>
      <c r="C52" s="110" t="n">
        <v>0</v>
      </c>
      <c r="D52" s="110" t="n">
        <v>0</v>
      </c>
      <c r="E52" s="110" t="n">
        <v>0</v>
      </c>
      <c r="F52" s="110" t="n">
        <v>0</v>
      </c>
      <c r="G52" s="110" t="n">
        <f aca="false">ROUND(G51*Assumptions!$C$80*Assumptions!$C$81,0)+ROUND(Assumptions!$C$70/Assumptions!$C$14,0)</f>
        <v>36</v>
      </c>
      <c r="H52" s="110" t="n">
        <f aca="false">ROUND(H51*Assumptions!$C$80*Assumptions!$C$81,0)+ROUND(Assumptions!$C$70/Assumptions!$C$14,0)</f>
        <v>48</v>
      </c>
      <c r="I52" s="110" t="n">
        <f aca="false">ROUND(I51*Assumptions!$C$80*Assumptions!$C$81,0)+ROUND(Assumptions!$C$70/Assumptions!$C$14,0)</f>
        <v>60</v>
      </c>
      <c r="J52" s="110" t="n">
        <f aca="false">ROUND(J51*Assumptions!$C$80*Assumptions!$C$81,0)+ROUND(Assumptions!$C$70/Assumptions!$C$14,0)</f>
        <v>72</v>
      </c>
      <c r="K52" s="110" t="n">
        <f aca="false">ROUND(K51*Assumptions!$C$80*Assumptions!$C$81,0)+ROUND(Assumptions!$C$70/Assumptions!$C$14,0)</f>
        <v>84</v>
      </c>
      <c r="L52" s="110" t="n">
        <f aca="false">ROUND(L51*Assumptions!$C$80*Assumptions!$C$81,0)+ROUND(Assumptions!$C$70/Assumptions!$C$14,0)</f>
        <v>96</v>
      </c>
      <c r="M52" s="110" t="n">
        <f aca="false">ROUND(M51*Assumptions!$C$80*Assumptions!$C$81,0)+ROUND(Assumptions!$C$70/Assumptions!$C$14,0)</f>
        <v>108</v>
      </c>
      <c r="N52" s="110" t="n">
        <f aca="false">ROUND(N51*Assumptions!$C$80*Assumptions!$C$81,0)+ROUND(Assumptions!$C$70/Assumptions!$C$14,0)</f>
        <v>120</v>
      </c>
      <c r="O52" s="110" t="n">
        <f aca="false">ROUND(O51*Assumptions!$C$80*Assumptions!$C$81,0)+ROUND(Assumptions!$C$70/Assumptions!$C$14,0)</f>
        <v>132</v>
      </c>
      <c r="P52" s="110" t="n">
        <f aca="false">ROUND(P51*Assumptions!$C$80*Assumptions!$C$81,0)+ROUND(Assumptions!$C$70/Assumptions!$C$14,0)</f>
        <v>144</v>
      </c>
      <c r="Q52" s="110" t="n">
        <f aca="false">ROUND(Q51*Assumptions!$C$80*Assumptions!$C$81,0)+ROUND(Assumptions!$C$70/Assumptions!$C$14,0)</f>
        <v>156</v>
      </c>
      <c r="R52" s="110" t="n">
        <f aca="false">ROUND(R51*Assumptions!$C$80*Assumptions!$C$81,0)+ROUND(Assumptions!$C$70/Assumptions!$C$14,0)</f>
        <v>168</v>
      </c>
      <c r="S52" s="110" t="n">
        <f aca="false">ROUND(S51*Assumptions!$C$80*Assumptions!$C$81,0)+ROUND(Assumptions!$C$70/Assumptions!$C$14,0)</f>
        <v>180</v>
      </c>
      <c r="T52" s="110" t="n">
        <f aca="false">ROUND(T51*Assumptions!$C$80*Assumptions!$C$81,0)+ROUND(Assumptions!$C$70/Assumptions!$C$14,0)</f>
        <v>192</v>
      </c>
    </row>
    <row r="53" customFormat="false" ht="15" hidden="false" customHeight="true" outlineLevel="0" collapsed="false">
      <c r="B53" s="72" t="s">
        <v>507</v>
      </c>
      <c r="C53" s="110" t="n">
        <v>0</v>
      </c>
      <c r="D53" s="110" t="n">
        <v>0</v>
      </c>
      <c r="E53" s="110" t="n">
        <v>0</v>
      </c>
      <c r="F53" s="110" t="n">
        <v>0</v>
      </c>
      <c r="G53" s="110" t="n">
        <f aca="false">G52-ROUND(G52*Assumptions!$C$6,0)</f>
        <v>32</v>
      </c>
      <c r="H53" s="110" t="n">
        <f aca="false">H52-ROUND(H52*Assumptions!$C$6,0)</f>
        <v>43</v>
      </c>
      <c r="I53" s="110" t="n">
        <f aca="false">I52-ROUND(I52*Assumptions!$C$6,0)</f>
        <v>54</v>
      </c>
      <c r="J53" s="110" t="n">
        <f aca="false">J52-ROUND(J52*Assumptions!$C$6,0)</f>
        <v>65</v>
      </c>
      <c r="K53" s="110" t="n">
        <f aca="false">K52-ROUND(K52*Assumptions!$C$6,0)</f>
        <v>76</v>
      </c>
      <c r="L53" s="110" t="n">
        <f aca="false">L52-ROUND(L52*Assumptions!$C$6,0)</f>
        <v>86</v>
      </c>
      <c r="M53" s="110" t="n">
        <f aca="false">M52-ROUND(M52*Assumptions!$C$6,0)</f>
        <v>97</v>
      </c>
      <c r="N53" s="110" t="n">
        <f aca="false">N52-ROUND(N52*Assumptions!$C$6,0)</f>
        <v>108</v>
      </c>
      <c r="O53" s="110" t="n">
        <f aca="false">O52-ROUND(O52*Assumptions!$C$6,0)</f>
        <v>119</v>
      </c>
      <c r="P53" s="110" t="n">
        <f aca="false">P52-ROUND(P52*Assumptions!$C$6,0)</f>
        <v>130</v>
      </c>
      <c r="Q53" s="110" t="n">
        <f aca="false">Q52-ROUND(Q52*Assumptions!$C$6,0)</f>
        <v>140</v>
      </c>
      <c r="R53" s="110" t="n">
        <f aca="false">R52-ROUND(R52*Assumptions!$C$6,0)</f>
        <v>151</v>
      </c>
      <c r="S53" s="110" t="n">
        <f aca="false">S52-ROUND(S52*Assumptions!$C$6,0)</f>
        <v>162</v>
      </c>
      <c r="T53" s="110" t="n">
        <f aca="false">T52-ROUND(T52*Assumptions!$C$6,0)</f>
        <v>173</v>
      </c>
    </row>
    <row r="54" customFormat="false" ht="15" hidden="false" customHeight="true" outlineLevel="0" collapsed="false">
      <c r="B54" s="72" t="s">
        <v>508</v>
      </c>
      <c r="C54" s="110" t="n">
        <f aca="false">C53</f>
        <v>0</v>
      </c>
      <c r="D54" s="110" t="n">
        <f aca="false">C54+D53</f>
        <v>0</v>
      </c>
      <c r="E54" s="110" t="n">
        <f aca="false">D54+E53</f>
        <v>0</v>
      </c>
      <c r="F54" s="110" t="n">
        <f aca="false">E54+F53</f>
        <v>0</v>
      </c>
      <c r="G54" s="110" t="n">
        <f aca="false">F54+G53</f>
        <v>32</v>
      </c>
      <c r="H54" s="110" t="n">
        <f aca="false">G54+H53</f>
        <v>75</v>
      </c>
      <c r="I54" s="110" t="n">
        <f aca="false">H54+I53</f>
        <v>129</v>
      </c>
      <c r="J54" s="110" t="n">
        <f aca="false">I54+J53</f>
        <v>194</v>
      </c>
      <c r="K54" s="110" t="n">
        <f aca="false">J54+K53</f>
        <v>270</v>
      </c>
      <c r="L54" s="110" t="n">
        <f aca="false">K54+L53</f>
        <v>356</v>
      </c>
      <c r="M54" s="110" t="n">
        <f aca="false">L54+M53</f>
        <v>453</v>
      </c>
      <c r="N54" s="110" t="n">
        <f aca="false">M54+N53</f>
        <v>561</v>
      </c>
      <c r="O54" s="110" t="n">
        <f aca="false">N54+O53</f>
        <v>680</v>
      </c>
      <c r="P54" s="110" t="n">
        <f aca="false">O54+P53</f>
        <v>810</v>
      </c>
      <c r="Q54" s="110" t="n">
        <f aca="false">P54+Q53</f>
        <v>950</v>
      </c>
      <c r="R54" s="110" t="n">
        <f aca="false">Q54+R53</f>
        <v>1101</v>
      </c>
      <c r="S54" s="110" t="n">
        <f aca="false">R54+S53</f>
        <v>1263</v>
      </c>
      <c r="T54" s="110" t="n">
        <f aca="false">S54+T53</f>
        <v>1436</v>
      </c>
    </row>
    <row r="55" customFormat="false" ht="15" hidden="false" customHeight="true" outlineLevel="0" collapsed="false">
      <c r="B55" s="72" t="s">
        <v>509</v>
      </c>
      <c r="C55" s="111" t="n">
        <v>0</v>
      </c>
      <c r="D55" s="111" t="n">
        <v>0</v>
      </c>
      <c r="E55" s="111" t="n">
        <v>0</v>
      </c>
      <c r="F55" s="111" t="n">
        <v>0</v>
      </c>
      <c r="G55" s="111" t="n">
        <f aca="false">(G53*Assumptions!$C$4)-((G52*Assumptions!$C$4*Assumptions!$C$10)+(G52*Assumptions!$C$11))</f>
        <v>1506.044</v>
      </c>
      <c r="H55" s="111" t="n">
        <f aca="false">(H53*Assumptions!$C$4)-((H52*Assumptions!$C$4*Assumptions!$C$10)+(H52*Assumptions!$C$11))</f>
        <v>2024.392</v>
      </c>
      <c r="I55" s="111" t="n">
        <f aca="false">(I53*Assumptions!$C$4)-((I52*Assumptions!$C$4*Assumptions!$C$10)+(I52*Assumptions!$C$11))</f>
        <v>2542.74</v>
      </c>
      <c r="J55" s="111" t="n">
        <f aca="false">(J53*Assumptions!$C$4)-((J52*Assumptions!$C$4*Assumptions!$C$10)+(J52*Assumptions!$C$11))</f>
        <v>3061.088</v>
      </c>
      <c r="K55" s="111" t="n">
        <f aca="false">(K53*Assumptions!$C$4)-((K52*Assumptions!$C$4*Assumptions!$C$10)+(K52*Assumptions!$C$11))</f>
        <v>3579.436</v>
      </c>
      <c r="L55" s="111" t="n">
        <f aca="false">(L53*Assumptions!$C$4)-((L52*Assumptions!$C$4*Assumptions!$C$10)+(L52*Assumptions!$C$11))</f>
        <v>4048.784</v>
      </c>
      <c r="M55" s="111" t="n">
        <f aca="false">(M53*Assumptions!$C$4)-((M52*Assumptions!$C$4*Assumptions!$C$10)+(M52*Assumptions!$C$11))</f>
        <v>4567.132</v>
      </c>
      <c r="N55" s="111" t="n">
        <f aca="false">(N53*Assumptions!$C$4)-((N52*Assumptions!$C$4*Assumptions!$C$10)+(N52*Assumptions!$C$11))</f>
        <v>5085.48</v>
      </c>
      <c r="O55" s="111" t="n">
        <f aca="false">(O53*Assumptions!$C$4)-((O52*Assumptions!$C$4*Assumptions!$C$10)+(O52*Assumptions!$C$11))</f>
        <v>5603.828</v>
      </c>
      <c r="P55" s="111" t="n">
        <f aca="false">(P53*Assumptions!$C$4)-((P52*Assumptions!$C$4*Assumptions!$C$10)+(P52*Assumptions!$C$11))</f>
        <v>6122.176</v>
      </c>
      <c r="Q55" s="111" t="n">
        <f aca="false">(Q53*Assumptions!$C$4)-((Q52*Assumptions!$C$4*Assumptions!$C$10)+(Q52*Assumptions!$C$11))</f>
        <v>6591.524</v>
      </c>
      <c r="R55" s="111" t="n">
        <f aca="false">(R53*Assumptions!$C$4)-((R52*Assumptions!$C$4*Assumptions!$C$10)+(R52*Assumptions!$C$11))</f>
        <v>7109.872</v>
      </c>
      <c r="S55" s="111" t="n">
        <f aca="false">(S53*Assumptions!$C$4)-((S52*Assumptions!$C$4*Assumptions!$C$10)+(S52*Assumptions!$C$11))</f>
        <v>7628.22</v>
      </c>
      <c r="T55" s="111" t="n">
        <f aca="false">(T53*Assumptions!$C$4)-((T52*Assumptions!$C$4*Assumptions!$C$10)+(T52*Assumptions!$C$11))</f>
        <v>8146.568</v>
      </c>
    </row>
    <row r="56" customFormat="false" ht="15" hidden="false" customHeight="true" outlineLevel="0" collapsed="false">
      <c r="B56" s="72" t="s">
        <v>457</v>
      </c>
      <c r="C56" s="111" t="n">
        <f aca="false">(COGS!C8+COGS!C9+COGS!C10)+(COGS!$I$4*C53)</f>
        <v>10</v>
      </c>
      <c r="D56" s="111" t="n">
        <f aca="false">(COGS!D8+COGS!D9+COGS!D10)+(COGS!$I$4*D53)</f>
        <v>10</v>
      </c>
      <c r="E56" s="111" t="n">
        <f aca="false">(COGS!E8+COGS!E9+COGS!E10)+(COGS!$I$4*E53)</f>
        <v>10</v>
      </c>
      <c r="F56" s="111" t="n">
        <f aca="false">(COGS!F8+COGS!F9+COGS!F10)+(COGS!$I$4*F53)</f>
        <v>10</v>
      </c>
      <c r="G56" s="111" t="n">
        <f aca="false">(COGS!G8+COGS!G9+COGS!G10)+(COGS!$I$4*G53)</f>
        <v>37.052096</v>
      </c>
      <c r="H56" s="111" t="n">
        <f aca="false">(COGS!H8+COGS!H9+COGS!H10)+(COGS!$I$4*H53)</f>
        <v>37.757504</v>
      </c>
      <c r="I56" s="111" t="n">
        <f aca="false">(COGS!I8+COGS!I9+COGS!I10)+(COGS!$I$4*I53)</f>
        <v>38.462912</v>
      </c>
      <c r="J56" s="111" t="n">
        <f aca="false">(COGS!J8+COGS!J9+COGS!J10)+(COGS!$I$4*J53)</f>
        <v>39.16832</v>
      </c>
      <c r="K56" s="111" t="n">
        <f aca="false">(COGS!K8+COGS!K9+COGS!K10)+(COGS!$I$4*K53)</f>
        <v>39.873728</v>
      </c>
      <c r="L56" s="111" t="n">
        <f aca="false">(COGS!L8+COGS!L9+COGS!L10)+(COGS!$I$4*L53)</f>
        <v>40.515008</v>
      </c>
      <c r="M56" s="111" t="n">
        <f aca="false">(COGS!M8+COGS!M9+COGS!M10)+(COGS!$I$4*M53)</f>
        <v>41.220416</v>
      </c>
      <c r="N56" s="111" t="n">
        <f aca="false">(COGS!N8+COGS!N9+COGS!N10)+(COGS!$I$4*N53)</f>
        <v>41.925824</v>
      </c>
      <c r="O56" s="111" t="n">
        <f aca="false">(COGS!O8+COGS!O9+COGS!O10)+(COGS!$I$4*O53)</f>
        <v>42.631232</v>
      </c>
      <c r="P56" s="111" t="n">
        <f aca="false">(COGS!P8+COGS!P9+COGS!P10)+(COGS!$I$4*P53)</f>
        <v>43.33664</v>
      </c>
      <c r="Q56" s="111" t="n">
        <f aca="false">(COGS!Q8+COGS!Q9+COGS!Q10)+(COGS!$I$4*Q53)</f>
        <v>43.97792</v>
      </c>
      <c r="R56" s="111" t="n">
        <f aca="false">(COGS!R8+COGS!R9+COGS!R10)+(COGS!$I$4*R53)</f>
        <v>44.683328</v>
      </c>
      <c r="S56" s="111" t="n">
        <f aca="false">(COGS!S8+COGS!S9+COGS!S10)+(COGS!$I$4*S53)</f>
        <v>45.388736</v>
      </c>
      <c r="T56" s="111" t="n">
        <f aca="false">(COGS!T8+COGS!T9+COGS!T10)+(COGS!$I$4*T53)</f>
        <v>46.094144</v>
      </c>
    </row>
    <row r="57" customFormat="false" ht="15" hidden="false" customHeight="true" outlineLevel="0" collapsed="false">
      <c r="B57" s="72" t="s">
        <v>510</v>
      </c>
      <c r="C57" s="111" t="n">
        <f aca="false">C55-C56</f>
        <v>-10</v>
      </c>
      <c r="D57" s="111" t="n">
        <f aca="false">D55-D56</f>
        <v>-10</v>
      </c>
      <c r="E57" s="111" t="n">
        <f aca="false">E55-E56</f>
        <v>-10</v>
      </c>
      <c r="F57" s="111" t="n">
        <f aca="false">F55-F56</f>
        <v>-10</v>
      </c>
      <c r="G57" s="111" t="n">
        <f aca="false">G55-G56</f>
        <v>1468.991904</v>
      </c>
      <c r="H57" s="111" t="n">
        <f aca="false">H55-H56</f>
        <v>1986.634496</v>
      </c>
      <c r="I57" s="111" t="n">
        <f aca="false">I55-I56</f>
        <v>2504.277088</v>
      </c>
      <c r="J57" s="111" t="n">
        <f aca="false">J55-J56</f>
        <v>3021.91968</v>
      </c>
      <c r="K57" s="111" t="n">
        <f aca="false">K55-K56</f>
        <v>3539.562272</v>
      </c>
      <c r="L57" s="111" t="n">
        <f aca="false">L55-L56</f>
        <v>4008.268992</v>
      </c>
      <c r="M57" s="111" t="n">
        <f aca="false">M55-M56</f>
        <v>4525.911584</v>
      </c>
      <c r="N57" s="111" t="n">
        <f aca="false">N55-N56</f>
        <v>5043.554176</v>
      </c>
      <c r="O57" s="111" t="n">
        <f aca="false">O55-O56</f>
        <v>5561.196768</v>
      </c>
      <c r="P57" s="111" t="n">
        <f aca="false">P55-P56</f>
        <v>6078.83936</v>
      </c>
      <c r="Q57" s="111" t="n">
        <f aca="false">Q55-Q56</f>
        <v>6547.54608</v>
      </c>
      <c r="R57" s="111" t="n">
        <f aca="false">R55-R56</f>
        <v>7065.188672</v>
      </c>
      <c r="S57" s="111" t="n">
        <f aca="false">S55-S56</f>
        <v>7582.831264</v>
      </c>
      <c r="T57" s="111" t="n">
        <f aca="false">T55-T56</f>
        <v>8100.473856</v>
      </c>
    </row>
    <row r="58" customFormat="false" ht="15" hidden="false" customHeight="true" outlineLevel="0" collapsed="false">
      <c r="B58" s="72" t="s">
        <v>511</v>
      </c>
      <c r="C58" s="111" t="n">
        <f aca="false">OpEx!C25</f>
        <v>2888</v>
      </c>
      <c r="D58" s="111" t="n">
        <f aca="false">OpEx!D25</f>
        <v>1783</v>
      </c>
      <c r="E58" s="111" t="n">
        <f aca="false">OpEx!E25</f>
        <v>1783</v>
      </c>
      <c r="F58" s="111" t="n">
        <f aca="false">OpEx!F25</f>
        <v>1783</v>
      </c>
      <c r="G58" s="111" t="n">
        <f aca="false">OpEx!G25</f>
        <v>1295</v>
      </c>
      <c r="H58" s="111" t="n">
        <f aca="false">OpEx!H25</f>
        <v>1295</v>
      </c>
      <c r="I58" s="111" t="n">
        <f aca="false">OpEx!I25</f>
        <v>1295</v>
      </c>
      <c r="J58" s="111" t="n">
        <f aca="false">OpEx!J25</f>
        <v>1295</v>
      </c>
      <c r="K58" s="111" t="n">
        <f aca="false">OpEx!K25</f>
        <v>1295</v>
      </c>
      <c r="L58" s="111" t="n">
        <f aca="false">OpEx!L25</f>
        <v>1295</v>
      </c>
      <c r="M58" s="111" t="n">
        <f aca="false">OpEx!M25</f>
        <v>1295</v>
      </c>
      <c r="N58" s="111" t="n">
        <f aca="false">OpEx!N25</f>
        <v>1295</v>
      </c>
      <c r="O58" s="111" t="n">
        <f aca="false">OpEx!O25</f>
        <v>1295</v>
      </c>
      <c r="P58" s="111" t="n">
        <f aca="false">OpEx!P25</f>
        <v>1295</v>
      </c>
      <c r="Q58" s="111" t="n">
        <f aca="false">OpEx!Q25</f>
        <v>1295</v>
      </c>
      <c r="R58" s="111" t="n">
        <f aca="false">OpEx!R25</f>
        <v>1295</v>
      </c>
      <c r="S58" s="111" t="n">
        <f aca="false">OpEx!S25</f>
        <v>1295</v>
      </c>
      <c r="T58" s="111" t="n">
        <f aca="false">OpEx!T25</f>
        <v>1295</v>
      </c>
    </row>
    <row r="59" customFormat="false" ht="15" hidden="false" customHeight="true" outlineLevel="0" collapsed="false">
      <c r="B59" s="72" t="s">
        <v>512</v>
      </c>
      <c r="C59" s="111" t="n">
        <f aca="false">C57-C58</f>
        <v>-2898</v>
      </c>
      <c r="D59" s="111" t="n">
        <f aca="false">D57-D58</f>
        <v>-1793</v>
      </c>
      <c r="E59" s="111" t="n">
        <f aca="false">E57-E58</f>
        <v>-1793</v>
      </c>
      <c r="F59" s="111" t="n">
        <f aca="false">F57-F58</f>
        <v>-1793</v>
      </c>
      <c r="G59" s="111" t="n">
        <f aca="false">G57-G58</f>
        <v>173.991904</v>
      </c>
      <c r="H59" s="111" t="n">
        <f aca="false">H57-H58</f>
        <v>691.634496</v>
      </c>
      <c r="I59" s="111" t="n">
        <f aca="false">I57-I58</f>
        <v>1209.277088</v>
      </c>
      <c r="J59" s="111" t="n">
        <f aca="false">J57-J58</f>
        <v>1726.91968</v>
      </c>
      <c r="K59" s="111" t="n">
        <f aca="false">K57-K58</f>
        <v>2244.562272</v>
      </c>
      <c r="L59" s="111" t="n">
        <f aca="false">L57-L58</f>
        <v>2713.268992</v>
      </c>
      <c r="M59" s="111" t="n">
        <f aca="false">M57-M58</f>
        <v>3230.911584</v>
      </c>
      <c r="N59" s="111" t="n">
        <f aca="false">N57-N58</f>
        <v>3748.554176</v>
      </c>
      <c r="O59" s="111" t="n">
        <f aca="false">O57-O58</f>
        <v>4266.196768</v>
      </c>
      <c r="P59" s="111" t="n">
        <f aca="false">P57-P58</f>
        <v>4783.83936</v>
      </c>
      <c r="Q59" s="111" t="n">
        <f aca="false">Q57-Q58</f>
        <v>5252.54608</v>
      </c>
      <c r="R59" s="111" t="n">
        <f aca="false">R57-R58</f>
        <v>5770.188672</v>
      </c>
      <c r="S59" s="111" t="n">
        <f aca="false">S57-S58</f>
        <v>6287.831264</v>
      </c>
      <c r="T59" s="111" t="n">
        <f aca="false">T57-T58</f>
        <v>6805.473856</v>
      </c>
    </row>
    <row r="60" customFormat="false" ht="15" hidden="false" customHeight="true" outlineLevel="0" collapsed="false">
      <c r="B60" s="72" t="s">
        <v>513</v>
      </c>
      <c r="C60" s="111" t="n">
        <f aca="false">C59</f>
        <v>-2898</v>
      </c>
      <c r="D60" s="111" t="n">
        <f aca="false">C60+D59</f>
        <v>-4691</v>
      </c>
      <c r="E60" s="111" t="n">
        <f aca="false">D60+E59</f>
        <v>-6484</v>
      </c>
      <c r="F60" s="111" t="n">
        <f aca="false">E60+F59</f>
        <v>-8277</v>
      </c>
      <c r="G60" s="111" t="n">
        <f aca="false">F60+G59</f>
        <v>-8103.008096</v>
      </c>
      <c r="H60" s="111" t="n">
        <f aca="false">G60+H59</f>
        <v>-7411.3736</v>
      </c>
      <c r="I60" s="111" t="n">
        <f aca="false">H60+I59</f>
        <v>-6202.096512</v>
      </c>
      <c r="J60" s="111" t="n">
        <f aca="false">I60+J59</f>
        <v>-4475.176832</v>
      </c>
      <c r="K60" s="111" t="n">
        <f aca="false">J60+K59</f>
        <v>-2230.61456</v>
      </c>
      <c r="L60" s="111" t="n">
        <f aca="false">K60+L59</f>
        <v>482.654432000001</v>
      </c>
      <c r="M60" s="111" t="n">
        <f aca="false">L60+M59</f>
        <v>3713.566016</v>
      </c>
      <c r="N60" s="111" t="n">
        <f aca="false">M60+N59</f>
        <v>7462.120192</v>
      </c>
      <c r="O60" s="111" t="n">
        <f aca="false">N60+O59</f>
        <v>11728.31696</v>
      </c>
      <c r="P60" s="111" t="n">
        <f aca="false">O60+P59</f>
        <v>16512.15632</v>
      </c>
      <c r="Q60" s="111" t="n">
        <f aca="false">P60+Q59</f>
        <v>21764.7024</v>
      </c>
      <c r="R60" s="111" t="n">
        <f aca="false">Q60+R59</f>
        <v>27534.891072</v>
      </c>
      <c r="S60" s="111" t="n">
        <f aca="false">R60+S59</f>
        <v>33822.722336</v>
      </c>
      <c r="T60" s="111" t="n">
        <f aca="false">S60+T59</f>
        <v>40628.196192</v>
      </c>
    </row>
    <row r="61" customFormat="false" ht="15" hidden="false" customHeight="true" outlineLevel="0" collapsed="false">
      <c r="B61" s="72" t="s">
        <v>514</v>
      </c>
      <c r="C61" s="119" t="str">
        <f aca="false">IF(C60&gt;0,1,"")</f>
        <v/>
      </c>
      <c r="D61" s="119" t="str">
        <f aca="false">IF(D60&gt;0,2,"")</f>
        <v/>
      </c>
      <c r="E61" s="119" t="str">
        <f aca="false">IF(E60&gt;0,3,"")</f>
        <v/>
      </c>
      <c r="F61" s="119" t="str">
        <f aca="false">IF(F60&gt;0,4,"")</f>
        <v/>
      </c>
      <c r="G61" s="119" t="str">
        <f aca="false">IF(G60&gt;0,5,"")</f>
        <v/>
      </c>
      <c r="H61" s="119" t="str">
        <f aca="false">IF(H60&gt;0,6,"")</f>
        <v/>
      </c>
      <c r="I61" s="119" t="str">
        <f aca="false">IF(I60&gt;0,7,"")</f>
        <v/>
      </c>
      <c r="J61" s="119" t="str">
        <f aca="false">IF(J60&gt;0,8,"")</f>
        <v/>
      </c>
      <c r="K61" s="119" t="str">
        <f aca="false">IF(K60&gt;0,9,"")</f>
        <v/>
      </c>
      <c r="L61" s="119" t="n">
        <f aca="false">IF(L60&gt;0,10,"")</f>
        <v>10</v>
      </c>
      <c r="M61" s="119" t="n">
        <f aca="false">IF(M60&gt;0,11,"")</f>
        <v>11</v>
      </c>
      <c r="N61" s="119" t="n">
        <f aca="false">IF(N60&gt;0,12,"")</f>
        <v>12</v>
      </c>
      <c r="O61" s="119" t="n">
        <f aca="false">IF(O60&gt;0,13,"")</f>
        <v>13</v>
      </c>
      <c r="P61" s="119" t="n">
        <f aca="false">IF(P60&gt;0,14,"")</f>
        <v>14</v>
      </c>
      <c r="Q61" s="119" t="n">
        <f aca="false">IF(Q60&gt;0,15,"")</f>
        <v>15</v>
      </c>
      <c r="R61" s="119" t="n">
        <f aca="false">IF(R60&gt;0,16,"")</f>
        <v>16</v>
      </c>
      <c r="S61" s="119" t="n">
        <f aca="false">IF(S60&gt;0,17,"")</f>
        <v>17</v>
      </c>
      <c r="T61" s="119" t="n">
        <f aca="false">IF(T60&gt;0,18,"")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4" min="3" style="1" width="15"/>
    <col collapsed="false" customWidth="true" hidden="false" outlineLevel="0" max="5" min="5" style="1" width="60"/>
    <col collapsed="false" customWidth="true" hidden="false" outlineLevel="0" max="8" min="6" style="1" width="15"/>
  </cols>
  <sheetData>
    <row r="1" customFormat="false" ht="17.25" hidden="false" customHeight="true" outlineLevel="0" collapsed="false">
      <c r="B1" s="108" t="s">
        <v>517</v>
      </c>
    </row>
    <row r="2" customFormat="false" ht="15" hidden="false" customHeight="true" outlineLevel="0" collapsed="false">
      <c r="B2" s="23" t="s">
        <v>518</v>
      </c>
    </row>
    <row r="4" customFormat="false" ht="15" hidden="false" customHeight="true" outlineLevel="0" collapsed="false">
      <c r="B4" s="71" t="s">
        <v>519</v>
      </c>
    </row>
    <row r="5" customFormat="false" ht="15" hidden="false" customHeight="true" outlineLevel="0" collapsed="false">
      <c r="B5" s="72" t="s">
        <v>163</v>
      </c>
      <c r="C5" s="118" t="n">
        <v>3628934</v>
      </c>
      <c r="E5" s="119" t="s">
        <v>520</v>
      </c>
    </row>
    <row r="6" customFormat="false" ht="15" hidden="false" customHeight="true" outlineLevel="0" collapsed="false">
      <c r="B6" s="72" t="s">
        <v>521</v>
      </c>
      <c r="C6" s="75" t="n">
        <v>0.83</v>
      </c>
      <c r="E6" s="119" t="s">
        <v>522</v>
      </c>
    </row>
    <row r="7" customFormat="false" ht="15" hidden="false" customHeight="true" outlineLevel="0" collapsed="false">
      <c r="B7" s="72" t="s">
        <v>523</v>
      </c>
      <c r="C7" s="120" t="n">
        <f aca="false">C5*C6</f>
        <v>3012015.22</v>
      </c>
      <c r="E7" s="119" t="s">
        <v>524</v>
      </c>
    </row>
    <row r="8" customFormat="false" ht="15" hidden="false" customHeight="true" outlineLevel="0" collapsed="false">
      <c r="B8" s="72" t="s">
        <v>525</v>
      </c>
      <c r="C8" s="75" t="n">
        <v>0.9</v>
      </c>
      <c r="E8" s="119" t="s">
        <v>526</v>
      </c>
    </row>
    <row r="9" customFormat="false" ht="15" hidden="false" customHeight="true" outlineLevel="0" collapsed="false">
      <c r="B9" s="72" t="s">
        <v>527</v>
      </c>
      <c r="C9" s="75" t="n">
        <v>0.3</v>
      </c>
      <c r="E9" s="119" t="s">
        <v>528</v>
      </c>
    </row>
    <row r="10" customFormat="false" ht="15" hidden="false" customHeight="true" outlineLevel="0" collapsed="false">
      <c r="B10" s="72" t="s">
        <v>529</v>
      </c>
      <c r="C10" s="120" t="n">
        <f aca="false">C7*C8*C9</f>
        <v>813244.1094</v>
      </c>
      <c r="E10" s="119" t="s">
        <v>530</v>
      </c>
    </row>
    <row r="11" customFormat="false" ht="15" hidden="false" customHeight="true" outlineLevel="0" collapsed="false">
      <c r="B11" s="72" t="s">
        <v>531</v>
      </c>
      <c r="C11" s="121" t="n">
        <f aca="false">Assumptions!$C$4</f>
        <v>49</v>
      </c>
      <c r="E11" s="119" t="s">
        <v>532</v>
      </c>
    </row>
    <row r="12" customFormat="false" ht="15" hidden="false" customHeight="true" outlineLevel="0" collapsed="false">
      <c r="B12" s="72" t="s">
        <v>533</v>
      </c>
      <c r="C12" s="121" t="n">
        <f aca="false">C7*C11</f>
        <v>147588745.78</v>
      </c>
      <c r="E12" s="119" t="s">
        <v>534</v>
      </c>
    </row>
    <row r="13" customFormat="false" ht="15" hidden="false" customHeight="true" outlineLevel="0" collapsed="false">
      <c r="B13" s="72" t="s">
        <v>535</v>
      </c>
      <c r="C13" s="121" t="n">
        <f aca="false">C10*C11</f>
        <v>39848961.3606</v>
      </c>
      <c r="E13" s="119" t="s">
        <v>536</v>
      </c>
    </row>
    <row r="16" customFormat="false" ht="15" hidden="false" customHeight="true" outlineLevel="0" collapsed="false">
      <c r="B16" s="71" t="s">
        <v>537</v>
      </c>
    </row>
    <row r="17" customFormat="false" ht="39" hidden="false" customHeight="true" outlineLevel="0" collapsed="false">
      <c r="B17" s="109" t="s">
        <v>492</v>
      </c>
      <c r="C17" s="109" t="s">
        <v>496</v>
      </c>
      <c r="D17" s="109" t="s">
        <v>494</v>
      </c>
      <c r="E17" s="109" t="s">
        <v>538</v>
      </c>
      <c r="F17" s="109" t="s">
        <v>539</v>
      </c>
      <c r="G17" s="109" t="s">
        <v>540</v>
      </c>
      <c r="H17" s="109" t="s">
        <v>541</v>
      </c>
    </row>
    <row r="18" customFormat="false" ht="15" hidden="false" customHeight="true" outlineLevel="0" collapsed="false">
      <c r="B18" s="72" t="s">
        <v>500</v>
      </c>
      <c r="C18" s="120" t="n">
        <f aca="false">Scenarios!F8</f>
        <v>818</v>
      </c>
      <c r="D18" s="120" t="n">
        <f aca="false">Scenarios!D8</f>
        <v>94</v>
      </c>
      <c r="E18" s="120" t="n">
        <f aca="false">Scenarios!D8*12</f>
        <v>1128</v>
      </c>
      <c r="F18" s="122" t="n">
        <f aca="false">C18/$C$7</f>
        <v>0.000271578972964154</v>
      </c>
      <c r="G18" s="123" t="n">
        <f aca="false">C18/$C$10</f>
        <v>0.00100584804801538</v>
      </c>
      <c r="H18" s="122" t="n">
        <f aca="false">E18/$C$7</f>
        <v>0.000374500099637611</v>
      </c>
    </row>
    <row r="19" customFormat="false" ht="15" hidden="false" customHeight="true" outlineLevel="0" collapsed="false">
      <c r="B19" s="72" t="s">
        <v>501</v>
      </c>
      <c r="C19" s="120" t="n">
        <f aca="false">Scenarios!F9</f>
        <v>1064</v>
      </c>
      <c r="D19" s="120" t="n">
        <f aca="false">Scenarios!D9</f>
        <v>133</v>
      </c>
      <c r="E19" s="120" t="n">
        <f aca="false">Scenarios!D9*12</f>
        <v>1596</v>
      </c>
      <c r="F19" s="122" t="n">
        <f aca="false">C19/$C$7</f>
        <v>0.000353251867034058</v>
      </c>
      <c r="G19" s="123" t="n">
        <f aca="false">C19/$C$10</f>
        <v>0.00130834024827429</v>
      </c>
      <c r="H19" s="122" t="n">
        <f aca="false">E19/$C$7</f>
        <v>0.000529877800551088</v>
      </c>
    </row>
    <row r="20" customFormat="false" ht="15" hidden="false" customHeight="true" outlineLevel="0" collapsed="false">
      <c r="B20" s="72" t="s">
        <v>502</v>
      </c>
      <c r="C20" s="120" t="n">
        <f aca="false">Scenarios!F10</f>
        <v>1436</v>
      </c>
      <c r="D20" s="120" t="n">
        <f aca="false">Scenarios!D10</f>
        <v>192</v>
      </c>
      <c r="E20" s="120" t="n">
        <f aca="false">Scenarios!D10*12</f>
        <v>2304</v>
      </c>
      <c r="F20" s="122" t="n">
        <f aca="false">C20/$C$7</f>
        <v>0.000476757219042207</v>
      </c>
      <c r="G20" s="123" t="n">
        <f aca="false">C20/$C$10</f>
        <v>0.0017657674779341</v>
      </c>
      <c r="H20" s="122" t="n">
        <f aca="false">E20/$C$7</f>
        <v>0.000764936373727886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8" min="5" style="1" width="16"/>
    <col collapsed="false" customWidth="true" hidden="false" outlineLevel="0" max="9" min="9" style="1" width="42"/>
  </cols>
  <sheetData>
    <row r="1" customFormat="false" ht="17.25" hidden="false" customHeight="true" outlineLevel="0" collapsed="false">
      <c r="B1" s="124" t="s">
        <v>542</v>
      </c>
    </row>
    <row r="2" customFormat="false" ht="15" hidden="false" customHeight="true" outlineLevel="0" collapsed="false">
      <c r="B2" s="23" t="s">
        <v>543</v>
      </c>
    </row>
    <row r="3" customFormat="false" ht="15" hidden="false" customHeight="true" outlineLevel="0" collapsed="false">
      <c r="B3" s="125" t="s">
        <v>544</v>
      </c>
    </row>
    <row r="4" customFormat="false" ht="15" hidden="false" customHeight="true" outlineLevel="0" collapsed="false">
      <c r="B4" s="126" t="s">
        <v>545</v>
      </c>
    </row>
    <row r="6" customFormat="false" ht="15" hidden="false" customHeight="true" outlineLevel="0" collapsed="false">
      <c r="B6" s="127" t="s">
        <v>546</v>
      </c>
    </row>
    <row r="7" customFormat="false" ht="15" hidden="false" customHeight="true" outlineLevel="0" collapsed="false">
      <c r="B7" s="72" t="s">
        <v>547</v>
      </c>
      <c r="C7" s="128" t="n">
        <v>25</v>
      </c>
      <c r="D7" s="119" t="s">
        <v>548</v>
      </c>
    </row>
    <row r="8" customFormat="false" ht="15" hidden="false" customHeight="true" outlineLevel="0" collapsed="false">
      <c r="B8" s="72" t="s">
        <v>549</v>
      </c>
      <c r="C8" s="128" t="n">
        <v>24</v>
      </c>
      <c r="D8" s="119" t="s">
        <v>550</v>
      </c>
    </row>
    <row r="9" customFormat="false" ht="15" hidden="false" customHeight="true" outlineLevel="0" collapsed="false">
      <c r="B9" s="72" t="s">
        <v>551</v>
      </c>
      <c r="C9" s="121" t="n">
        <f aca="false">C7+C8</f>
        <v>49</v>
      </c>
      <c r="D9" s="119" t="s">
        <v>552</v>
      </c>
    </row>
    <row r="10" customFormat="false" ht="15" hidden="false" customHeight="true" outlineLevel="0" collapsed="false">
      <c r="B10" s="72" t="s">
        <v>553</v>
      </c>
      <c r="C10" s="128" t="n">
        <v>0</v>
      </c>
      <c r="D10" s="119" t="s">
        <v>554</v>
      </c>
    </row>
    <row r="11" customFormat="false" ht="15" hidden="false" customHeight="true" outlineLevel="0" collapsed="false">
      <c r="B11" s="72" t="s">
        <v>555</v>
      </c>
      <c r="C11" s="129" t="n">
        <f aca="false">C9*(1-Assumptions!$C$6)</f>
        <v>44.1</v>
      </c>
      <c r="D11" s="119" t="s">
        <v>556</v>
      </c>
    </row>
    <row r="13" customFormat="false" ht="15" hidden="false" customHeight="true" outlineLevel="0" collapsed="false">
      <c r="B13" s="127" t="s">
        <v>557</v>
      </c>
    </row>
    <row r="14" customFormat="false" ht="15" hidden="false" customHeight="true" outlineLevel="0" collapsed="false">
      <c r="B14" s="72" t="s">
        <v>558</v>
      </c>
      <c r="C14" s="118" t="n">
        <v>800</v>
      </c>
      <c r="D14" s="119" t="s">
        <v>559</v>
      </c>
    </row>
    <row r="15" customFormat="false" ht="15" hidden="false" customHeight="true" outlineLevel="0" collapsed="false">
      <c r="B15" s="72" t="s">
        <v>560</v>
      </c>
      <c r="C15" s="75" t="n">
        <v>0.45</v>
      </c>
      <c r="D15" s="119" t="s">
        <v>561</v>
      </c>
    </row>
    <row r="16" customFormat="false" ht="15" hidden="false" customHeight="true" outlineLevel="0" collapsed="false">
      <c r="B16" s="72" t="s">
        <v>562</v>
      </c>
      <c r="C16" s="128" t="n">
        <v>25000</v>
      </c>
      <c r="D16" s="119" t="s">
        <v>563</v>
      </c>
    </row>
    <row r="17" customFormat="false" ht="15" hidden="false" customHeight="true" outlineLevel="0" collapsed="false">
      <c r="B17" s="72" t="s">
        <v>564</v>
      </c>
      <c r="C17" s="75" t="n">
        <v>0.85</v>
      </c>
      <c r="D17" s="119" t="s">
        <v>565</v>
      </c>
    </row>
    <row r="18" customFormat="false" ht="15" hidden="false" customHeight="true" outlineLevel="0" collapsed="false">
      <c r="B18" s="72" t="s">
        <v>566</v>
      </c>
      <c r="C18" s="130" t="n">
        <f aca="false">1/(1-C17)</f>
        <v>6.66666666666667</v>
      </c>
      <c r="D18" s="119" t="s">
        <v>567</v>
      </c>
    </row>
    <row r="19" customFormat="false" ht="15" hidden="false" customHeight="true" outlineLevel="0" collapsed="false">
      <c r="B19" s="72" t="s">
        <v>568</v>
      </c>
      <c r="C19" s="118" t="n">
        <v>2</v>
      </c>
      <c r="D19" s="119" t="s">
        <v>569</v>
      </c>
    </row>
    <row r="21" customFormat="false" ht="15" hidden="false" customHeight="true" outlineLevel="0" collapsed="false">
      <c r="B21" s="127" t="s">
        <v>570</v>
      </c>
    </row>
    <row r="22" customFormat="false" ht="15" hidden="false" customHeight="true" outlineLevel="0" collapsed="false">
      <c r="B22" s="77" t="s">
        <v>571</v>
      </c>
    </row>
    <row r="23" customFormat="false" ht="39" hidden="false" customHeight="true" outlineLevel="0" collapsed="false">
      <c r="B23" s="131" t="s">
        <v>572</v>
      </c>
      <c r="C23" s="131" t="s">
        <v>573</v>
      </c>
      <c r="D23" s="131" t="s">
        <v>574</v>
      </c>
      <c r="E23" s="131" t="s">
        <v>575</v>
      </c>
      <c r="F23" s="131" t="s">
        <v>576</v>
      </c>
      <c r="G23" s="131" t="s">
        <v>577</v>
      </c>
      <c r="H23" s="131" t="s">
        <v>578</v>
      </c>
    </row>
    <row r="24" customFormat="false" ht="15" hidden="false" customHeight="true" outlineLevel="0" collapsed="false">
      <c r="B24" s="128" t="n">
        <v>120</v>
      </c>
      <c r="C24" s="120" t="n">
        <f aca="false">ROUND($C$14*$C$15,0)</f>
        <v>360</v>
      </c>
      <c r="D24" s="121" t="n">
        <f aca="false">B24*C24</f>
        <v>43200</v>
      </c>
      <c r="E24" s="121" t="n">
        <f aca="false">D24+$C$16</f>
        <v>68200</v>
      </c>
      <c r="F24" s="121" t="n">
        <f aca="false">E24*$C$18</f>
        <v>454666.666666667</v>
      </c>
      <c r="G24" s="121" t="n">
        <f aca="false">E24*$C$19</f>
        <v>136400</v>
      </c>
      <c r="H24" s="132" t="n">
        <f aca="false">B24/700</f>
        <v>0.171428571428571</v>
      </c>
    </row>
    <row r="25" customFormat="false" ht="15" hidden="false" customHeight="true" outlineLevel="0" collapsed="false">
      <c r="B25" s="133" t="n">
        <v>200</v>
      </c>
      <c r="C25" s="134" t="n">
        <f aca="false">ROUND($C$14*$C$15,0)</f>
        <v>360</v>
      </c>
      <c r="D25" s="135" t="n">
        <f aca="false">B25*C25</f>
        <v>72000</v>
      </c>
      <c r="E25" s="135" t="n">
        <f aca="false">D25+$C$16</f>
        <v>97000</v>
      </c>
      <c r="F25" s="135" t="n">
        <f aca="false">E25*$C$18</f>
        <v>646666.666666667</v>
      </c>
      <c r="G25" s="135" t="n">
        <f aca="false">E25*$C$19</f>
        <v>194000</v>
      </c>
      <c r="H25" s="136" t="n">
        <f aca="false">B25/700</f>
        <v>0.285714285714286</v>
      </c>
    </row>
    <row r="26" customFormat="false" ht="15" hidden="false" customHeight="true" outlineLevel="0" collapsed="false">
      <c r="B26" s="128" t="n">
        <v>300</v>
      </c>
      <c r="C26" s="120" t="n">
        <f aca="false">ROUND($C$14*$C$15,0)</f>
        <v>360</v>
      </c>
      <c r="D26" s="121" t="n">
        <f aca="false">B26*C26</f>
        <v>108000</v>
      </c>
      <c r="E26" s="121" t="n">
        <f aca="false">D26+$C$16</f>
        <v>133000</v>
      </c>
      <c r="F26" s="121" t="n">
        <f aca="false">E26*$C$18</f>
        <v>886666.666666667</v>
      </c>
      <c r="G26" s="121" t="n">
        <f aca="false">E26*$C$19</f>
        <v>266000</v>
      </c>
      <c r="H26" s="132" t="n">
        <f aca="false">B26/700</f>
        <v>0.428571428571429</v>
      </c>
    </row>
    <row r="28" customFormat="false" ht="15" hidden="false" customHeight="true" outlineLevel="0" collapsed="false">
      <c r="B28" s="127" t="s">
        <v>579</v>
      </c>
    </row>
    <row r="29" customFormat="false" ht="26.25" hidden="false" customHeight="true" outlineLevel="0" collapsed="false">
      <c r="B29" s="131" t="s">
        <v>580</v>
      </c>
      <c r="C29" s="131" t="s">
        <v>581</v>
      </c>
      <c r="D29" s="131" t="s">
        <v>582</v>
      </c>
      <c r="E29" s="131" t="s">
        <v>583</v>
      </c>
      <c r="F29" s="131" t="s">
        <v>584</v>
      </c>
      <c r="G29" s="131" t="s">
        <v>585</v>
      </c>
      <c r="H29" s="131" t="s">
        <v>586</v>
      </c>
      <c r="I29" s="131" t="s">
        <v>587</v>
      </c>
    </row>
    <row r="30" customFormat="false" ht="15" hidden="false" customHeight="true" outlineLevel="0" collapsed="false">
      <c r="B30" s="72" t="s">
        <v>588</v>
      </c>
      <c r="C30" s="121" t="n">
        <f aca="false">Assumptions!$C$4</f>
        <v>49</v>
      </c>
      <c r="D30" s="121" t="s">
        <v>589</v>
      </c>
      <c r="E30" s="129" t="n">
        <f aca="false">Assumptions!$C$4*(1-Assumptions!$C$6)</f>
        <v>44.1</v>
      </c>
      <c r="F30" s="129" t="n">
        <f aca="false">Assumptions!$C$14</f>
        <v>30</v>
      </c>
      <c r="G30" s="137" t="n">
        <f aca="false">IF(F30=0,"n/a (CAC=0)",E30/F30)</f>
        <v>1.47</v>
      </c>
      <c r="H30" s="28" t="s">
        <v>590</v>
      </c>
      <c r="I30" s="119" t="s">
        <v>591</v>
      </c>
    </row>
    <row r="31" customFormat="false" ht="15" hidden="false" customHeight="true" outlineLevel="0" collapsed="false">
      <c r="B31" s="138" t="s">
        <v>592</v>
      </c>
      <c r="C31" s="135" t="n">
        <f aca="false">C7</f>
        <v>25</v>
      </c>
      <c r="D31" s="135" t="n">
        <f aca="false">C8</f>
        <v>24</v>
      </c>
      <c r="E31" s="139" t="n">
        <f aca="false">C11</f>
        <v>44.1</v>
      </c>
      <c r="F31" s="139" t="n">
        <f aca="false">Assumptions!$C$14*0.5</f>
        <v>15</v>
      </c>
      <c r="G31" s="140" t="n">
        <f aca="false">IF(F31=0,"n/a (CAC=0)",E31/F31)</f>
        <v>2.94</v>
      </c>
      <c r="H31" s="141" t="s">
        <v>590</v>
      </c>
      <c r="I31" s="142" t="s">
        <v>593</v>
      </c>
    </row>
    <row r="32" customFormat="false" ht="15" hidden="false" customHeight="true" outlineLevel="0" collapsed="false">
      <c r="B32" s="72" t="s">
        <v>594</v>
      </c>
      <c r="C32" s="121" t="s">
        <v>589</v>
      </c>
      <c r="D32" s="121" t="n">
        <f aca="false">B24</f>
        <v>120</v>
      </c>
      <c r="E32" s="129" t="n">
        <f aca="false">B24*(1-Assumptions!$C$6)</f>
        <v>108</v>
      </c>
      <c r="F32" s="129" t="n">
        <f aca="false">C10</f>
        <v>0</v>
      </c>
      <c r="G32" s="137" t="str">
        <f aca="false">IF(F32=0,"n/a (CAC=0)",E32/F32)</f>
        <v>n/a (CAC=0)</v>
      </c>
      <c r="H32" s="28" t="s">
        <v>595</v>
      </c>
      <c r="I32" s="119" t="s">
        <v>596</v>
      </c>
    </row>
    <row r="33" customFormat="false" ht="15" hidden="false" customHeight="true" outlineLevel="0" collapsed="false">
      <c r="B33" s="138" t="s">
        <v>597</v>
      </c>
      <c r="C33" s="135" t="s">
        <v>589</v>
      </c>
      <c r="D33" s="135" t="n">
        <f aca="false">B24</f>
        <v>120</v>
      </c>
      <c r="E33" s="139" t="n">
        <f aca="false">B24*(1-Assumptions!$C$6)</f>
        <v>108</v>
      </c>
      <c r="F33" s="139" t="n">
        <f aca="false">C10</f>
        <v>0</v>
      </c>
      <c r="G33" s="140" t="str">
        <f aca="false">IF(F33=0,"n/a (CAC=0)",E33/F33)</f>
        <v>n/a (CAC=0)</v>
      </c>
      <c r="H33" s="141" t="s">
        <v>595</v>
      </c>
      <c r="I33" s="142" t="s">
        <v>598</v>
      </c>
    </row>
    <row r="35" customFormat="false" ht="15" hidden="false" customHeight="true" outlineLevel="0" collapsed="false">
      <c r="B35" s="127" t="s">
        <v>599</v>
      </c>
    </row>
    <row r="36" customFormat="false" ht="15" hidden="false" customHeight="true" outlineLevel="0" collapsed="false">
      <c r="B36" s="72" t="s">
        <v>600</v>
      </c>
      <c r="C36" s="120" t="n">
        <f aca="false">ROUND(C14*C15*C19,0)</f>
        <v>720</v>
      </c>
    </row>
    <row r="37" customFormat="false" ht="15" hidden="false" customHeight="true" outlineLevel="0" collapsed="false">
      <c r="B37" s="72" t="s">
        <v>601</v>
      </c>
      <c r="C37" s="120" t="n">
        <f aca="false">ROUND(C36/(Assumptions!$C$80*Assumptions!$C$81*12),0)</f>
        <v>40</v>
      </c>
      <c r="D37" s="119" t="s">
        <v>602</v>
      </c>
    </row>
    <row r="38" customFormat="false" ht="15" hidden="false" customHeight="true" outlineLevel="0" collapsed="false">
      <c r="B38" s="72" t="s">
        <v>603</v>
      </c>
      <c r="C38" s="120" t="n">
        <f aca="false">ROUND(C37/Assumptions!$C$79,0)</f>
        <v>8</v>
      </c>
      <c r="D38" s="119" t="s">
        <v>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7" min="3" style="1" width="17"/>
  </cols>
  <sheetData>
    <row r="1" customFormat="false" ht="15.75" hidden="false" customHeight="true" outlineLevel="0" collapsed="false">
      <c r="B1" s="88" t="s">
        <v>605</v>
      </c>
      <c r="C1" s="88"/>
      <c r="D1" s="88"/>
      <c r="E1" s="88"/>
    </row>
    <row r="2" customFormat="false" ht="15" hidden="false" customHeight="true" outlineLevel="0" collapsed="false">
      <c r="C2" s="143" t="s">
        <v>606</v>
      </c>
      <c r="D2" s="143" t="s">
        <v>607</v>
      </c>
      <c r="E2" s="143" t="s">
        <v>587</v>
      </c>
    </row>
    <row r="4" customFormat="false" ht="15" hidden="false" customHeight="true" outlineLevel="0" collapsed="false">
      <c r="B4" s="54" t="s">
        <v>608</v>
      </c>
      <c r="C4" s="54"/>
      <c r="D4" s="54"/>
      <c r="E4" s="54"/>
    </row>
    <row r="5" customFormat="false" ht="15" hidden="false" customHeight="true" outlineLevel="0" collapsed="false">
      <c r="B5" s="8" t="s">
        <v>609</v>
      </c>
      <c r="C5" s="144" t="n">
        <f aca="false">Assumptions!$C$4</f>
        <v>49</v>
      </c>
      <c r="E5" s="145" t="s">
        <v>610</v>
      </c>
    </row>
    <row r="6" customFormat="false" ht="15" hidden="false" customHeight="true" outlineLevel="0" collapsed="false">
      <c r="B6" s="8" t="s">
        <v>611</v>
      </c>
      <c r="C6" s="146" t="n">
        <f aca="false">(Assumptions!$C$4*Assumptions!$C$10)+Assumptions!$C$11</f>
        <v>1.721</v>
      </c>
      <c r="E6" s="145" t="s">
        <v>612</v>
      </c>
    </row>
    <row r="7" customFormat="false" ht="15" hidden="false" customHeight="true" outlineLevel="0" collapsed="false">
      <c r="B7" s="55" t="s">
        <v>613</v>
      </c>
      <c r="C7" s="147" t="n">
        <f aca="false">Assumptions!$C$4-(Assumptions!$C$4*Assumptions!$C$10+Assumptions!$C$11)</f>
        <v>47.279</v>
      </c>
      <c r="E7" s="145" t="s">
        <v>614</v>
      </c>
    </row>
    <row r="9" customFormat="false" ht="15" hidden="false" customHeight="true" outlineLevel="0" collapsed="false">
      <c r="B9" s="54" t="s">
        <v>615</v>
      </c>
      <c r="C9" s="54"/>
      <c r="D9" s="54"/>
      <c r="E9" s="54"/>
    </row>
    <row r="10" customFormat="false" ht="15" hidden="false" customHeight="true" outlineLevel="0" collapsed="false">
      <c r="B10" s="8" t="s">
        <v>616</v>
      </c>
      <c r="C10" s="148" t="n">
        <f aca="false">IFERROR((Assumptions!$C$30*Assumptions!$C$31)*((Assumptions!$C$34/1000*Assumptions!$C$32)+(Assumptions!$C$35/1000*Assumptions!$C$33)+(Assumptions!$C$37/1000000*Assumptions!$C$36)),"Fill FAQ query inputs")</f>
        <v>0.064128</v>
      </c>
      <c r="E10" s="145" t="s">
        <v>617</v>
      </c>
    </row>
    <row r="12" customFormat="false" ht="15" hidden="false" customHeight="true" outlineLevel="0" collapsed="false">
      <c r="B12" s="54" t="s">
        <v>618</v>
      </c>
      <c r="C12" s="54"/>
      <c r="D12" s="54"/>
      <c r="E12" s="54"/>
    </row>
    <row r="13" customFormat="false" ht="15" hidden="false" customHeight="true" outlineLevel="0" collapsed="false">
      <c r="B13" s="55" t="s">
        <v>619</v>
      </c>
      <c r="C13" s="147" t="n">
        <f aca="false">IFERROR(C7-C10,"Fill inputs")</f>
        <v>47.214872</v>
      </c>
    </row>
    <row r="14" customFormat="false" ht="15" hidden="false" customHeight="true" outlineLevel="0" collapsed="false">
      <c r="B14" s="8" t="s">
        <v>620</v>
      </c>
      <c r="C14" s="149" t="n">
        <f aca="false">IFERROR(C13/C7,"-")</f>
        <v>0.998643626134225</v>
      </c>
    </row>
    <row r="16" customFormat="false" ht="15" hidden="false" customHeight="true" outlineLevel="0" collapsed="false">
      <c r="B16" s="54" t="s">
        <v>621</v>
      </c>
      <c r="C16" s="54"/>
      <c r="D16" s="54"/>
      <c r="E16" s="54"/>
    </row>
    <row r="17" customFormat="false" ht="15" hidden="false" customHeight="true" outlineLevel="0" collapsed="false">
      <c r="B17" s="8" t="s">
        <v>622</v>
      </c>
      <c r="C17" s="144" t="n">
        <f aca="false">Assumptions!$C$14</f>
        <v>30</v>
      </c>
      <c r="E17" s="145" t="s">
        <v>623</v>
      </c>
    </row>
    <row r="18" customFormat="false" ht="15" hidden="false" customHeight="true" outlineLevel="0" collapsed="false">
      <c r="B18" s="8" t="s">
        <v>624</v>
      </c>
      <c r="C18" s="150" t="n">
        <f aca="false">IFERROR(Assumptions!$C$15,"?")</f>
        <v>65</v>
      </c>
      <c r="E18" s="145" t="s">
        <v>625</v>
      </c>
    </row>
    <row r="19" customFormat="false" ht="21.75" hidden="false" customHeight="true" outlineLevel="0" collapsed="false">
      <c r="B19" s="8" t="s">
        <v>241</v>
      </c>
      <c r="C19" s="150" t="n">
        <f aca="false">IFERROR(Assumptions!$C$16,"?")</f>
        <v>10</v>
      </c>
      <c r="E19" s="145" t="s">
        <v>626</v>
      </c>
    </row>
    <row r="20" customFormat="false" ht="15" hidden="false" customHeight="true" outlineLevel="0" collapsed="false">
      <c r="B20" s="55" t="s">
        <v>627</v>
      </c>
      <c r="C20" s="151" t="n">
        <f aca="false">IFERROR(Assumptions!$C$7*C19+(1-Assumptions!$C$7)*C17,"?")</f>
        <v>22</v>
      </c>
      <c r="E20" s="145" t="s">
        <v>628</v>
      </c>
    </row>
    <row r="22" customFormat="false" ht="15" hidden="false" customHeight="true" outlineLevel="0" collapsed="false">
      <c r="B22" s="54" t="s">
        <v>629</v>
      </c>
      <c r="C22" s="54"/>
      <c r="D22" s="54"/>
      <c r="E22" s="54"/>
    </row>
    <row r="23" customFormat="false" ht="21.75" hidden="false" customHeight="true" outlineLevel="0" collapsed="false">
      <c r="B23" s="8" t="s">
        <v>630</v>
      </c>
      <c r="C23" s="152" t="n">
        <f aca="false">C7</f>
        <v>47.279</v>
      </c>
      <c r="E23" s="145" t="s">
        <v>631</v>
      </c>
    </row>
    <row r="24" customFormat="false" ht="15" hidden="false" customHeight="true" outlineLevel="0" collapsed="false">
      <c r="B24" s="55" t="s">
        <v>632</v>
      </c>
      <c r="C24" s="153" t="n">
        <f aca="false">IFERROR(C23/C17,"-")</f>
        <v>1.57596666666667</v>
      </c>
      <c r="E24" s="145" t="s">
        <v>633</v>
      </c>
    </row>
    <row r="25" customFormat="false" ht="21.75" hidden="false" customHeight="true" outlineLevel="0" collapsed="false">
      <c r="B25" s="8" t="s">
        <v>634</v>
      </c>
      <c r="C25" s="154" t="n">
        <f aca="false">IFERROR(C17/C7,"-")</f>
        <v>0.634531187207851</v>
      </c>
      <c r="E25" s="145" t="s">
        <v>635</v>
      </c>
    </row>
    <row r="27" customFormat="false" ht="15" hidden="false" customHeight="true" outlineLevel="0" collapsed="false">
      <c r="B27" s="71" t="s">
        <v>636</v>
      </c>
    </row>
    <row r="28" customFormat="false" ht="15" hidden="false" customHeight="true" outlineLevel="0" collapsed="false">
      <c r="B28" s="77" t="s">
        <v>637</v>
      </c>
    </row>
    <row r="29" customFormat="false" ht="39" hidden="false" customHeight="true" outlineLevel="0" collapsed="false">
      <c r="B29" s="109" t="s">
        <v>638</v>
      </c>
      <c r="C29" s="109" t="s">
        <v>639</v>
      </c>
      <c r="D29" s="109" t="s">
        <v>640</v>
      </c>
      <c r="E29" s="109" t="s">
        <v>641</v>
      </c>
      <c r="F29" s="109" t="s">
        <v>642</v>
      </c>
      <c r="G29" s="109" t="s">
        <v>643</v>
      </c>
    </row>
    <row r="30" customFormat="false" ht="15" hidden="false" customHeight="true" outlineLevel="0" collapsed="false">
      <c r="B30" s="128" t="n">
        <v>49</v>
      </c>
      <c r="C30" s="129" t="n">
        <f aca="false">(B30*(1-Assumptions!$C$6))-((B30*Assumptions!$C$10)+Assumptions!$C$11)</f>
        <v>42.379</v>
      </c>
      <c r="D30" s="155" t="n">
        <f aca="false">COGS!$I$4</f>
        <v>0.064128</v>
      </c>
      <c r="E30" s="132" t="n">
        <f aca="false">(C30-D30)/C30</f>
        <v>0.998486797706411</v>
      </c>
      <c r="F30" s="137" t="n">
        <f aca="false">C30/Assumptions!$C$14</f>
        <v>1.41263333333333</v>
      </c>
      <c r="G30" s="137" t="n">
        <f aca="false">C30/Assumptions!$C$16</f>
        <v>4.2379</v>
      </c>
    </row>
    <row r="31" customFormat="false" ht="15" hidden="false" customHeight="true" outlineLevel="0" collapsed="false">
      <c r="B31" s="128" t="n">
        <v>69</v>
      </c>
      <c r="C31" s="129" t="n">
        <f aca="false">(B31*(1-Assumptions!$C$6))-((B31*Assumptions!$C$10)+Assumptions!$C$11)</f>
        <v>59.799</v>
      </c>
      <c r="D31" s="155" t="n">
        <f aca="false">COGS!$I$4</f>
        <v>0.064128</v>
      </c>
      <c r="E31" s="132" t="n">
        <f aca="false">(C31-D31)/C31</f>
        <v>0.998927607485075</v>
      </c>
      <c r="F31" s="137" t="n">
        <f aca="false">C31/Assumptions!$C$14</f>
        <v>1.9933</v>
      </c>
      <c r="G31" s="137" t="n">
        <f aca="false">C31/Assumptions!$C$16</f>
        <v>5.9799</v>
      </c>
    </row>
    <row r="32" customFormat="false" ht="15" hidden="false" customHeight="true" outlineLevel="0" collapsed="false">
      <c r="B32" s="128" t="n">
        <v>99</v>
      </c>
      <c r="C32" s="129" t="n">
        <f aca="false">(B32*(1-Assumptions!$C$6))-((B32*Assumptions!$C$10)+Assumptions!$C$11)</f>
        <v>85.929</v>
      </c>
      <c r="D32" s="155" t="n">
        <f aca="false">COGS!$I$4</f>
        <v>0.064128</v>
      </c>
      <c r="E32" s="132" t="n">
        <f aca="false">(C32-D32)/C32</f>
        <v>0.999253709457808</v>
      </c>
      <c r="F32" s="137" t="n">
        <f aca="false">C32/Assumptions!$C$14</f>
        <v>2.8643</v>
      </c>
      <c r="G32" s="137" t="n">
        <f aca="false">C32/Assumptions!$C$16</f>
        <v>8.5929</v>
      </c>
    </row>
  </sheetData>
  <mergeCells count="6">
    <mergeCell ref="B1:E1"/>
    <mergeCell ref="B4:E4"/>
    <mergeCell ref="B9:E9"/>
    <mergeCell ref="B12:E12"/>
    <mergeCell ref="B16:E16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45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55"/>
  </cols>
  <sheetData>
    <row r="1" customFormat="false" ht="15.75" hidden="false" customHeight="true" outlineLevel="0" collapsed="false">
      <c r="B1" s="88" t="s">
        <v>644</v>
      </c>
      <c r="C1" s="88"/>
      <c r="D1" s="88"/>
      <c r="E1" s="88"/>
      <c r="F1" s="88"/>
    </row>
    <row r="2" customFormat="false" ht="15" hidden="false" customHeight="true" outlineLevel="0" collapsed="false">
      <c r="B2" s="156" t="s">
        <v>382</v>
      </c>
      <c r="C2" s="157" t="s">
        <v>645</v>
      </c>
      <c r="D2" s="157" t="s">
        <v>646</v>
      </c>
      <c r="E2" s="157" t="s">
        <v>647</v>
      </c>
      <c r="F2" s="157" t="s">
        <v>648</v>
      </c>
    </row>
    <row r="3" customFormat="false" ht="31.5" hidden="false" customHeight="true" outlineLevel="0" collapsed="false">
      <c r="B3" s="158" t="n">
        <v>1</v>
      </c>
      <c r="C3" s="159" t="s">
        <v>649</v>
      </c>
      <c r="D3" s="160" t="s">
        <v>650</v>
      </c>
      <c r="E3" s="51" t="s">
        <v>651</v>
      </c>
      <c r="F3" s="161" t="s">
        <v>652</v>
      </c>
    </row>
    <row r="4" customFormat="false" ht="31.5" hidden="false" customHeight="true" outlineLevel="0" collapsed="false">
      <c r="B4" s="158" t="n">
        <v>2</v>
      </c>
      <c r="C4" s="159" t="s">
        <v>653</v>
      </c>
      <c r="D4" s="160" t="s">
        <v>654</v>
      </c>
      <c r="E4" s="51" t="s">
        <v>655</v>
      </c>
      <c r="F4" s="161" t="s">
        <v>656</v>
      </c>
    </row>
    <row r="5" customFormat="false" ht="31.5" hidden="false" customHeight="true" outlineLevel="0" collapsed="false">
      <c r="B5" s="158" t="n">
        <v>3</v>
      </c>
      <c r="C5" s="159" t="s">
        <v>657</v>
      </c>
      <c r="D5" s="160" t="s">
        <v>658</v>
      </c>
      <c r="E5" s="51" t="s">
        <v>659</v>
      </c>
      <c r="F5" s="161" t="s">
        <v>660</v>
      </c>
    </row>
    <row r="6" customFormat="false" ht="31.5" hidden="false" customHeight="true" outlineLevel="0" collapsed="false">
      <c r="B6" s="158" t="n">
        <v>4</v>
      </c>
      <c r="C6" s="159" t="s">
        <v>661</v>
      </c>
      <c r="D6" s="160" t="s">
        <v>662</v>
      </c>
      <c r="E6" s="51" t="s">
        <v>663</v>
      </c>
      <c r="F6" s="161" t="s">
        <v>664</v>
      </c>
    </row>
    <row r="7" customFormat="false" ht="31.5" hidden="false" customHeight="true" outlineLevel="0" collapsed="false">
      <c r="B7" s="158" t="n">
        <v>5</v>
      </c>
      <c r="C7" s="159" t="s">
        <v>665</v>
      </c>
      <c r="D7" s="160" t="s">
        <v>666</v>
      </c>
      <c r="E7" s="51" t="s">
        <v>667</v>
      </c>
      <c r="F7" s="161" t="s">
        <v>668</v>
      </c>
    </row>
    <row r="8" customFormat="false" ht="31.5" hidden="false" customHeight="true" outlineLevel="0" collapsed="false">
      <c r="B8" s="162" t="n">
        <v>6</v>
      </c>
      <c r="C8" s="163" t="s">
        <v>334</v>
      </c>
      <c r="D8" s="160" t="s">
        <v>669</v>
      </c>
      <c r="E8" s="51" t="s">
        <v>670</v>
      </c>
      <c r="F8" s="161" t="s">
        <v>671</v>
      </c>
    </row>
    <row r="9" customFormat="false" ht="31.5" hidden="false" customHeight="true" outlineLevel="0" collapsed="false">
      <c r="B9" s="162" t="n">
        <v>7</v>
      </c>
      <c r="C9" s="163" t="s">
        <v>672</v>
      </c>
      <c r="D9" s="160" t="s">
        <v>673</v>
      </c>
      <c r="E9" s="51" t="s">
        <v>651</v>
      </c>
      <c r="F9" s="161" t="s">
        <v>674</v>
      </c>
    </row>
    <row r="10" customFormat="false" ht="31.5" hidden="false" customHeight="true" outlineLevel="0" collapsed="false">
      <c r="B10" s="162" t="n">
        <v>8</v>
      </c>
      <c r="C10" s="163" t="s">
        <v>675</v>
      </c>
      <c r="D10" s="160" t="s">
        <v>676</v>
      </c>
      <c r="E10" s="51" t="s">
        <v>667</v>
      </c>
      <c r="F10" s="161" t="s">
        <v>677</v>
      </c>
    </row>
    <row r="11" customFormat="false" ht="31.5" hidden="false" customHeight="true" outlineLevel="0" collapsed="false">
      <c r="B11" s="162" t="n">
        <v>9</v>
      </c>
      <c r="C11" s="163" t="s">
        <v>678</v>
      </c>
      <c r="D11" s="160" t="s">
        <v>679</v>
      </c>
      <c r="E11" s="51" t="s">
        <v>667</v>
      </c>
      <c r="F11" s="161" t="s">
        <v>680</v>
      </c>
    </row>
    <row r="12" customFormat="false" ht="31.5" hidden="false" customHeight="true" outlineLevel="0" collapsed="false">
      <c r="B12" s="162" t="n">
        <v>10</v>
      </c>
      <c r="C12" s="163" t="s">
        <v>681</v>
      </c>
      <c r="D12" s="160" t="s">
        <v>679</v>
      </c>
      <c r="E12" s="51" t="s">
        <v>667</v>
      </c>
      <c r="F12" s="161" t="s">
        <v>682</v>
      </c>
    </row>
    <row r="13" customFormat="false" ht="31.5" hidden="false" customHeight="true" outlineLevel="0" collapsed="false">
      <c r="B13" s="162" t="n">
        <v>11</v>
      </c>
      <c r="C13" s="163" t="s">
        <v>683</v>
      </c>
      <c r="D13" s="160" t="s">
        <v>684</v>
      </c>
      <c r="E13" s="51" t="s">
        <v>685</v>
      </c>
      <c r="F13" s="161" t="s">
        <v>686</v>
      </c>
    </row>
    <row r="14" customFormat="false" ht="31.5" hidden="false" customHeight="true" outlineLevel="0" collapsed="false">
      <c r="B14" s="162" t="n">
        <v>12</v>
      </c>
      <c r="C14" s="163" t="s">
        <v>245</v>
      </c>
      <c r="D14" s="160" t="s">
        <v>687</v>
      </c>
      <c r="E14" s="51" t="s">
        <v>688</v>
      </c>
      <c r="F14" s="161" t="s">
        <v>689</v>
      </c>
    </row>
    <row r="15" customFormat="false" ht="31.5" hidden="false" customHeight="true" outlineLevel="0" collapsed="false">
      <c r="B15" s="162" t="n">
        <v>13</v>
      </c>
      <c r="C15" s="163" t="s">
        <v>690</v>
      </c>
      <c r="D15" s="160" t="s">
        <v>691</v>
      </c>
      <c r="E15" s="51" t="s">
        <v>692</v>
      </c>
      <c r="F15" s="161" t="s">
        <v>693</v>
      </c>
    </row>
    <row r="16" customFormat="false" ht="31.5" hidden="false" customHeight="true" outlineLevel="0" collapsed="false">
      <c r="B16" s="162" t="n">
        <v>14</v>
      </c>
      <c r="C16" s="163" t="s">
        <v>694</v>
      </c>
      <c r="D16" s="160" t="s">
        <v>695</v>
      </c>
      <c r="E16" s="51" t="s">
        <v>667</v>
      </c>
      <c r="F16" s="161" t="s">
        <v>696</v>
      </c>
    </row>
    <row r="17" customFormat="false" ht="31.5" hidden="false" customHeight="true" outlineLevel="0" collapsed="false">
      <c r="B17" s="162" t="n">
        <v>15</v>
      </c>
      <c r="C17" s="163" t="s">
        <v>697</v>
      </c>
      <c r="D17" s="160" t="s">
        <v>669</v>
      </c>
      <c r="E17" s="51" t="s">
        <v>670</v>
      </c>
      <c r="F17" s="161" t="s">
        <v>698</v>
      </c>
    </row>
    <row r="18" customFormat="false" ht="31.5" hidden="false" customHeight="true" outlineLevel="0" collapsed="false">
      <c r="B18" s="162" t="n">
        <v>16</v>
      </c>
      <c r="C18" s="163" t="s">
        <v>699</v>
      </c>
      <c r="D18" s="160" t="s">
        <v>684</v>
      </c>
      <c r="E18" s="51" t="s">
        <v>700</v>
      </c>
      <c r="F18" s="161" t="s">
        <v>701</v>
      </c>
    </row>
    <row r="19" customFormat="false" ht="31.5" hidden="false" customHeight="true" outlineLevel="0" collapsed="false">
      <c r="B19" s="162" t="n">
        <v>17</v>
      </c>
      <c r="C19" s="163" t="s">
        <v>702</v>
      </c>
      <c r="D19" s="160" t="s">
        <v>703</v>
      </c>
      <c r="E19" s="51" t="s">
        <v>692</v>
      </c>
      <c r="F19" s="161" t="s">
        <v>704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54"/>
    <col collapsed="false" customWidth="true" hidden="false" outlineLevel="0" max="6" min="6" style="1" width="44"/>
  </cols>
  <sheetData>
    <row r="1" customFormat="false" ht="17.25" hidden="false" customHeight="true" outlineLevel="0" collapsed="false">
      <c r="B1" s="76" t="s">
        <v>705</v>
      </c>
    </row>
    <row r="2" customFormat="false" ht="15" hidden="false" customHeight="true" outlineLevel="0" collapsed="false">
      <c r="B2" s="23" t="s">
        <v>706</v>
      </c>
    </row>
    <row r="4" customFormat="false" ht="15" hidden="false" customHeight="true" outlineLevel="0" collapsed="false">
      <c r="B4" s="25" t="s">
        <v>382</v>
      </c>
      <c r="C4" s="25" t="s">
        <v>707</v>
      </c>
      <c r="D4" s="25" t="s">
        <v>708</v>
      </c>
      <c r="E4" s="25" t="s">
        <v>709</v>
      </c>
      <c r="F4" s="25" t="s">
        <v>710</v>
      </c>
    </row>
    <row r="5" customFormat="false" ht="42" hidden="false" customHeight="true" outlineLevel="0" collapsed="false">
      <c r="B5" s="26" t="n">
        <v>1</v>
      </c>
      <c r="C5" s="26" t="s">
        <v>711</v>
      </c>
      <c r="D5" s="164" t="s">
        <v>712</v>
      </c>
      <c r="E5" s="32" t="s">
        <v>713</v>
      </c>
      <c r="F5" s="32" t="s">
        <v>714</v>
      </c>
    </row>
    <row r="6" customFormat="false" ht="42" hidden="false" customHeight="true" outlineLevel="0" collapsed="false">
      <c r="B6" s="26" t="n">
        <v>2</v>
      </c>
      <c r="C6" s="26" t="s">
        <v>715</v>
      </c>
      <c r="D6" s="31" t="s">
        <v>716</v>
      </c>
      <c r="E6" s="32" t="s">
        <v>717</v>
      </c>
      <c r="F6" s="32" t="s">
        <v>718</v>
      </c>
    </row>
    <row r="7" customFormat="false" ht="42" hidden="false" customHeight="true" outlineLevel="0" collapsed="false">
      <c r="B7" s="26" t="n">
        <v>3</v>
      </c>
      <c r="C7" s="26" t="s">
        <v>719</v>
      </c>
      <c r="D7" s="31" t="s">
        <v>716</v>
      </c>
      <c r="E7" s="32" t="s">
        <v>720</v>
      </c>
      <c r="F7" s="32" t="s">
        <v>721</v>
      </c>
    </row>
    <row r="8" customFormat="false" ht="42" hidden="false" customHeight="true" outlineLevel="0" collapsed="false">
      <c r="B8" s="26" t="n">
        <v>4</v>
      </c>
      <c r="C8" s="26" t="s">
        <v>722</v>
      </c>
      <c r="D8" s="164" t="s">
        <v>723</v>
      </c>
      <c r="E8" s="32" t="s">
        <v>724</v>
      </c>
      <c r="F8" s="32" t="s">
        <v>725</v>
      </c>
    </row>
    <row r="9" customFormat="false" ht="42" hidden="false" customHeight="true" outlineLevel="0" collapsed="false">
      <c r="B9" s="26" t="n">
        <v>5</v>
      </c>
      <c r="C9" s="26" t="s">
        <v>726</v>
      </c>
      <c r="D9" s="164" t="s">
        <v>727</v>
      </c>
      <c r="E9" s="32" t="s">
        <v>728</v>
      </c>
      <c r="F9" s="32" t="s">
        <v>729</v>
      </c>
    </row>
    <row r="10" customFormat="false" ht="42" hidden="false" customHeight="true" outlineLevel="0" collapsed="false">
      <c r="B10" s="26" t="n">
        <v>6</v>
      </c>
      <c r="C10" s="26" t="s">
        <v>730</v>
      </c>
      <c r="D10" s="164" t="s">
        <v>731</v>
      </c>
      <c r="E10" s="32" t="s">
        <v>732</v>
      </c>
      <c r="F10" s="32" t="s">
        <v>733</v>
      </c>
    </row>
    <row r="11" customFormat="false" ht="42" hidden="false" customHeight="true" outlineLevel="0" collapsed="false">
      <c r="B11" s="26" t="n">
        <v>7</v>
      </c>
      <c r="C11" s="26" t="s">
        <v>734</v>
      </c>
      <c r="D11" s="164" t="s">
        <v>731</v>
      </c>
      <c r="E11" s="32" t="s">
        <v>735</v>
      </c>
      <c r="F11" s="32" t="s">
        <v>736</v>
      </c>
    </row>
    <row r="12" customFormat="false" ht="42" hidden="false" customHeight="true" outlineLevel="0" collapsed="false">
      <c r="B12" s="26" t="n">
        <v>8</v>
      </c>
      <c r="C12" s="26" t="s">
        <v>737</v>
      </c>
      <c r="D12" s="164" t="s">
        <v>731</v>
      </c>
      <c r="E12" s="32" t="s">
        <v>738</v>
      </c>
      <c r="F12" s="32" t="s">
        <v>739</v>
      </c>
    </row>
    <row r="13" customFormat="false" ht="42" hidden="false" customHeight="true" outlineLevel="0" collapsed="false">
      <c r="B13" s="26" t="n">
        <v>9</v>
      </c>
      <c r="C13" s="26" t="s">
        <v>740</v>
      </c>
      <c r="D13" s="164" t="s">
        <v>741</v>
      </c>
      <c r="E13" s="32" t="s">
        <v>742</v>
      </c>
      <c r="F13" s="32" t="s">
        <v>743</v>
      </c>
    </row>
    <row r="14" customFormat="false" ht="42" hidden="false" customHeight="true" outlineLevel="0" collapsed="false">
      <c r="B14" s="26" t="n">
        <v>10</v>
      </c>
      <c r="C14" s="26" t="s">
        <v>744</v>
      </c>
      <c r="D14" s="164" t="s">
        <v>745</v>
      </c>
      <c r="E14" s="32" t="s">
        <v>746</v>
      </c>
      <c r="F14" s="32" t="s">
        <v>747</v>
      </c>
    </row>
    <row r="15" customFormat="false" ht="42" hidden="false" customHeight="true" outlineLevel="0" collapsed="false">
      <c r="B15" s="42" t="n">
        <v>11</v>
      </c>
      <c r="C15" s="42" t="s">
        <v>748</v>
      </c>
      <c r="D15" s="164" t="s">
        <v>727</v>
      </c>
      <c r="E15" s="32" t="s">
        <v>749</v>
      </c>
      <c r="F15" s="32" t="s">
        <v>750</v>
      </c>
    </row>
    <row r="16" customFormat="false" ht="42" hidden="false" customHeight="true" outlineLevel="0" collapsed="false">
      <c r="B16" s="42" t="n">
        <v>12</v>
      </c>
      <c r="C16" s="42" t="s">
        <v>751</v>
      </c>
      <c r="D16" s="164" t="s">
        <v>731</v>
      </c>
      <c r="E16" s="32" t="s">
        <v>752</v>
      </c>
      <c r="F16" s="32" t="s">
        <v>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2026-06-02T17:57:37Z</dcterms:created>
  <dc:creator>openpyxl</dc:creator>
  <dc:description/>
  <dc:language>en-US</dc:language>
  <cp:lastModifiedBy/>
  <dcterms:modified xsi:type="dcterms:W3CDTF">2026-07-12T03:48:43Z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